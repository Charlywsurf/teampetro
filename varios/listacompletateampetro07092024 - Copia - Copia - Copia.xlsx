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8"/>
  <workbookPr/>
  <mc:AlternateContent xmlns:mc="http://schemas.openxmlformats.org/markup-compatibility/2006">
    <mc:Choice Requires="x15">
      <x15ac:absPath xmlns:x15ac="http://schemas.microsoft.com/office/spreadsheetml/2010/11/ac" url="C:\Users\Pelu\Google Drive\"/>
    </mc:Choice>
  </mc:AlternateContent>
  <xr:revisionPtr revIDLastSave="0" documentId="8_{CF69FE6C-6291-4699-95B6-317546F23217}" xr6:coauthVersionLast="47" xr6:coauthVersionMax="47" xr10:uidLastSave="{00000000-0000-0000-0000-000000000000}"/>
  <bookViews>
    <workbookView xWindow="-105" yWindow="-105" windowWidth="23250" windowHeight="12570" firstSheet="1" activeTab="1" xr2:uid="{00000000-000D-0000-FFFF-FFFF00000000}"/>
  </bookViews>
  <sheets>
    <sheet name="Hoja1" sheetId="7" r:id="rId1"/>
    <sheet name="lista de precios" sheetId="1" r:id="rId2"/>
    <sheet name="toallas" sheetId="2" r:id="rId3"/>
    <sheet name="lista w" sheetId="3" r:id="rId4"/>
    <sheet name="lista exel capilar" sheetId="4" r:id="rId5"/>
    <sheet name="lista fausto" sheetId="5" r:id="rId6"/>
  </sheets>
  <definedNames>
    <definedName name="cort">#REF!</definedName>
    <definedName name="cortes">'lista de precios'!$A$5:$C$7</definedName>
    <definedName name="lava">#REF!</definedName>
    <definedName name="lavado">'lista de precios'!$A$1:$C$4</definedName>
    <definedName name="lavados">'lista de precios'!$A$1:$C$4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1" l="1"/>
  <c r="U26" i="1"/>
  <c r="U25" i="1"/>
  <c r="C47" i="1"/>
  <c r="U23" i="1" s="1"/>
  <c r="E46" i="1"/>
  <c r="U11" i="1"/>
  <c r="U10" i="1"/>
  <c r="C13" i="1"/>
  <c r="C15" i="1"/>
  <c r="C14" i="1"/>
  <c r="C11" i="1"/>
  <c r="C12" i="1"/>
  <c r="O9" i="1"/>
  <c r="O8" i="1"/>
  <c r="C46" i="1"/>
  <c r="U22" i="1" s="1"/>
  <c r="E43" i="1"/>
  <c r="I44" i="1"/>
  <c r="Q43" i="1"/>
  <c r="I45" i="1"/>
  <c r="I48" i="1"/>
  <c r="I47" i="1"/>
  <c r="I46" i="1"/>
  <c r="C52" i="1"/>
  <c r="O26" i="1"/>
  <c r="O29" i="1" s="1"/>
  <c r="O32" i="1"/>
  <c r="I11" i="1"/>
  <c r="I14" i="1"/>
  <c r="I15" i="1" s="1"/>
  <c r="I42" i="1"/>
  <c r="I43" i="1"/>
  <c r="I31" i="1"/>
  <c r="I4" i="1"/>
  <c r="I5" i="1"/>
  <c r="I6" i="1" s="1"/>
  <c r="I2" i="1"/>
  <c r="C55" i="1"/>
  <c r="U29" i="1"/>
  <c r="O2" i="1"/>
  <c r="I41" i="1"/>
  <c r="I37" i="1"/>
  <c r="I36" i="1"/>
  <c r="I34" i="1"/>
  <c r="I33" i="1"/>
  <c r="I32" i="1"/>
  <c r="I24" i="1"/>
  <c r="I23" i="1"/>
  <c r="I22" i="1"/>
  <c r="I19" i="1"/>
  <c r="I18" i="1"/>
  <c r="I17" i="1"/>
  <c r="I8" i="1"/>
  <c r="U28" i="1" s="1"/>
  <c r="I9" i="1"/>
  <c r="I10" i="1" s="1"/>
  <c r="J28" i="1"/>
  <c r="J27" i="1"/>
  <c r="J26" i="1"/>
  <c r="C57" i="1"/>
  <c r="C58" i="1"/>
  <c r="C54" i="1"/>
  <c r="C53" i="1"/>
  <c r="C51" i="1"/>
  <c r="C42" i="1"/>
  <c r="U20" i="1" s="1"/>
  <c r="C41" i="1"/>
  <c r="U19" i="1" s="1"/>
  <c r="C38" i="1"/>
  <c r="U17" i="1" s="1"/>
  <c r="C37" i="1"/>
  <c r="U16" i="1"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4" i="1"/>
  <c r="E45" i="1"/>
  <c r="E47" i="1"/>
  <c r="E48" i="1"/>
  <c r="E49" i="1"/>
  <c r="E50" i="1"/>
  <c r="E51" i="1"/>
  <c r="E52" i="1"/>
  <c r="E53" i="1"/>
  <c r="E54" i="1"/>
  <c r="E55" i="1"/>
  <c r="E56" i="1"/>
  <c r="E1" i="1"/>
  <c r="I29" i="1"/>
  <c r="U32" i="1"/>
  <c r="I28" i="1"/>
  <c r="U31" i="1"/>
  <c r="K27" i="1"/>
  <c r="I27" i="1"/>
  <c r="U30" i="1"/>
  <c r="K2" i="1"/>
  <c r="K3" i="1"/>
  <c r="K4" i="1"/>
  <c r="K5" i="1"/>
  <c r="K6" i="1"/>
  <c r="K7" i="1"/>
  <c r="K8" i="1"/>
  <c r="K9" i="1"/>
  <c r="K10" i="1"/>
  <c r="K11" i="1"/>
  <c r="K12" i="1"/>
  <c r="K13" i="1"/>
  <c r="K14" i="1"/>
  <c r="K15" i="1"/>
  <c r="K16" i="1"/>
  <c r="K17" i="1"/>
  <c r="K18" i="1"/>
  <c r="K19" i="1"/>
  <c r="K20" i="1"/>
  <c r="K21" i="1"/>
  <c r="K22" i="1"/>
  <c r="K23" i="1"/>
  <c r="K24" i="1"/>
  <c r="K25" i="1"/>
  <c r="K26" i="1"/>
  <c r="K28" i="1"/>
  <c r="K29" i="1"/>
  <c r="K30" i="1"/>
  <c r="K31" i="1"/>
  <c r="K32" i="1"/>
  <c r="K33" i="1"/>
  <c r="K34" i="1"/>
  <c r="K35" i="1"/>
  <c r="K36" i="1"/>
  <c r="K37" i="1"/>
  <c r="K38" i="1"/>
  <c r="K39" i="1"/>
  <c r="K40" i="1"/>
  <c r="K41" i="1"/>
  <c r="K42" i="1"/>
  <c r="K1" i="1"/>
  <c r="O24" i="1"/>
  <c r="O25" i="1"/>
  <c r="O27" i="1"/>
  <c r="O28" i="1"/>
  <c r="O30" i="1"/>
  <c r="Q4" i="1"/>
  <c r="Q7" i="1"/>
  <c r="Q8" i="1"/>
  <c r="Q11" i="1"/>
  <c r="Q12" i="1"/>
  <c r="Q13" i="1"/>
  <c r="Q14" i="1"/>
  <c r="Q15" i="1"/>
  <c r="Q16" i="1"/>
  <c r="Q17" i="1"/>
  <c r="Q18" i="1"/>
  <c r="Q19" i="1"/>
  <c r="Q20" i="1"/>
  <c r="Q21" i="1"/>
  <c r="Q22" i="1"/>
  <c r="Q23" i="1"/>
  <c r="Q24" i="1"/>
  <c r="Q25" i="1"/>
  <c r="Q26" i="1"/>
  <c r="Q29" i="1"/>
  <c r="Q32" i="1"/>
  <c r="Q35" i="1"/>
  <c r="Q36" i="1"/>
  <c r="Q37" i="1"/>
  <c r="Q38" i="1"/>
  <c r="Q39" i="1"/>
  <c r="Q40" i="1"/>
  <c r="Q41" i="1"/>
  <c r="Q42" i="1"/>
  <c r="Q44" i="1"/>
  <c r="Q45" i="1"/>
  <c r="Q46" i="1"/>
  <c r="Q47" i="1"/>
  <c r="Q48" i="1"/>
  <c r="Q49" i="1"/>
  <c r="Q50" i="1"/>
  <c r="Q51" i="1"/>
  <c r="Q52" i="1"/>
  <c r="Q53" i="1"/>
  <c r="Q54" i="1"/>
  <c r="Q55" i="1"/>
  <c r="Q56" i="1"/>
  <c r="Q57" i="1"/>
  <c r="Q58" i="1"/>
  <c r="Q59" i="1"/>
  <c r="Q1" i="1"/>
  <c r="P27" i="1"/>
  <c r="Q27" i="1"/>
  <c r="P28" i="1"/>
  <c r="Q28" i="1"/>
  <c r="P30" i="1"/>
  <c r="Q30" i="1"/>
  <c r="P31" i="1"/>
  <c r="Q31" i="1"/>
  <c r="P33" i="1"/>
  <c r="Q33" i="1"/>
  <c r="P34" i="1"/>
  <c r="Q34" i="1"/>
  <c r="P10" i="1"/>
  <c r="Q10" i="1"/>
  <c r="P9" i="1"/>
  <c r="Q9" i="1"/>
  <c r="P6" i="1"/>
  <c r="Q6" i="1"/>
  <c r="P5" i="1"/>
  <c r="Q5" i="1"/>
  <c r="P3" i="1"/>
  <c r="Q3" i="1"/>
  <c r="P2" i="1"/>
  <c r="Q2" i="1"/>
  <c r="U13" i="1"/>
  <c r="U12" i="1"/>
  <c r="T13" i="1"/>
  <c r="T12" i="1"/>
  <c r="U41" i="1"/>
  <c r="O5" i="1"/>
  <c r="O3" i="1"/>
  <c r="E60" i="1"/>
  <c r="E61" i="1"/>
  <c r="E62" i="1"/>
  <c r="U82" i="1"/>
  <c r="U79" i="1"/>
  <c r="O31" i="1"/>
  <c r="U83" i="1"/>
  <c r="U81" i="1"/>
  <c r="U80" i="1"/>
  <c r="T14" i="1"/>
  <c r="T85" i="1"/>
  <c r="U85" i="1"/>
  <c r="V85" i="1"/>
  <c r="T90" i="1"/>
  <c r="T91" i="1"/>
  <c r="T89" i="1"/>
  <c r="T87" i="1"/>
  <c r="T88" i="1"/>
  <c r="T86" i="1"/>
  <c r="T83" i="1"/>
  <c r="T84" i="1"/>
  <c r="T82" i="1"/>
  <c r="T80" i="1"/>
  <c r="T81" i="1"/>
  <c r="T79" i="1"/>
  <c r="T77" i="1"/>
  <c r="T78" i="1"/>
  <c r="T76" i="1"/>
  <c r="U9" i="1"/>
  <c r="U44" i="1"/>
  <c r="O6" i="1"/>
  <c r="U92" i="1"/>
  <c r="U94" i="1"/>
  <c r="U93" i="1"/>
  <c r="V94" i="1"/>
  <c r="U90" i="1"/>
  <c r="V90" i="1"/>
  <c r="U91" i="1"/>
  <c r="V91" i="1"/>
  <c r="U86" i="1"/>
  <c r="V86" i="1"/>
  <c r="V82" i="1"/>
  <c r="U89" i="1"/>
  <c r="V89" i="1"/>
  <c r="U6" i="1"/>
  <c r="U7" i="1"/>
  <c r="U43" i="1"/>
  <c r="U40" i="1"/>
  <c r="U39" i="1"/>
  <c r="U37" i="1"/>
  <c r="E57" i="1"/>
  <c r="E58" i="1"/>
  <c r="E59" i="1"/>
  <c r="U21" i="1"/>
  <c r="U84" i="1"/>
  <c r="V84" i="1"/>
  <c r="V83" i="1"/>
  <c r="U88" i="1"/>
  <c r="V88" i="1"/>
  <c r="U78" i="1"/>
  <c r="V78" i="1"/>
  <c r="V81" i="1"/>
  <c r="U38" i="1"/>
  <c r="U87" i="1"/>
  <c r="V87" i="1"/>
  <c r="U3" i="1"/>
  <c r="U36" i="1"/>
  <c r="V80" i="1"/>
  <c r="U77" i="1"/>
  <c r="V77" i="1"/>
  <c r="U8" i="1"/>
  <c r="U15" i="1"/>
  <c r="U14" i="1"/>
  <c r="U105" i="1"/>
  <c r="V105" i="1"/>
  <c r="U104" i="1"/>
  <c r="V104" i="1"/>
  <c r="U34" i="1"/>
  <c r="V100" i="1"/>
  <c r="V101" i="1"/>
  <c r="V102" i="1"/>
  <c r="V99" i="1"/>
  <c r="U73" i="1"/>
  <c r="V73" i="1"/>
  <c r="U72" i="1"/>
  <c r="V72" i="1"/>
  <c r="U71" i="1"/>
  <c r="V71" i="1"/>
  <c r="U70" i="1"/>
  <c r="V70" i="1"/>
  <c r="U69" i="1"/>
  <c r="V69" i="1"/>
  <c r="U66" i="1"/>
  <c r="V66" i="1"/>
  <c r="U65" i="1"/>
  <c r="V65" i="1"/>
  <c r="U64" i="1"/>
  <c r="V64" i="1"/>
  <c r="U63" i="1"/>
  <c r="V63" i="1"/>
  <c r="U42" i="1"/>
  <c r="U35" i="1"/>
  <c r="U33" i="1"/>
  <c r="U24" i="1"/>
  <c r="U18" i="1"/>
  <c r="U5" i="1"/>
  <c r="U4" i="1"/>
  <c r="V93" i="1"/>
  <c r="U95" i="1"/>
  <c r="V95" i="1"/>
  <c r="U76" i="1"/>
  <c r="V76" i="1"/>
  <c r="U96" i="1"/>
  <c r="V96" i="1"/>
  <c r="V79" i="1"/>
  <c r="V92" i="1"/>
  <c r="C2" i="7"/>
  <c r="U107" i="1" l="1"/>
  <c r="V107" i="1" s="1"/>
  <c r="I3" i="1"/>
  <c r="U106" i="1" l="1"/>
  <c r="V106" i="1" s="1"/>
  <c r="U109" i="1" l="1"/>
  <c r="V109" i="1" s="1"/>
  <c r="U108" i="1"/>
  <c r="V108" i="1" s="1"/>
</calcChain>
</file>

<file path=xl/sharedStrings.xml><?xml version="1.0" encoding="utf-8"?>
<sst xmlns="http://schemas.openxmlformats.org/spreadsheetml/2006/main" count="250" uniqueCount="226">
  <si>
    <t>Lavados Ap de Producto</t>
  </si>
  <si>
    <t>APLICACIÓN DE PRODUCTO</t>
  </si>
  <si>
    <t>Cortes de Cabello</t>
  </si>
  <si>
    <t>Secados &amp; Peinados</t>
  </si>
  <si>
    <t>Baños de Cremas</t>
  </si>
  <si>
    <t>Ampollas</t>
  </si>
  <si>
    <t>Tratamientos</t>
  </si>
  <si>
    <t>Colores</t>
  </si>
  <si>
    <t>lavado con masajes 10 minutos</t>
  </si>
  <si>
    <t>BALAYAGE BROWN melena</t>
  </si>
  <si>
    <t>MANOS</t>
  </si>
  <si>
    <t>LAVADO neutro</t>
  </si>
  <si>
    <t>BALAYAGE RUBIO melena</t>
  </si>
  <si>
    <t>MANOS ESMALTE semipermante</t>
  </si>
  <si>
    <t>valor de lista</t>
  </si>
  <si>
    <t>LAVADO loreal</t>
  </si>
  <si>
    <t>BALAYAGE PLATINADO melena</t>
  </si>
  <si>
    <t>MANOS ESMALTE semipermante OPI</t>
  </si>
  <si>
    <t>lavado (desde)</t>
  </si>
  <si>
    <t>BALAYAGE BROWN largo</t>
  </si>
  <si>
    <t>MANOS KAPPING GEL</t>
  </si>
  <si>
    <t>corte HOMBRE/MUJER</t>
  </si>
  <si>
    <t>340/341</t>
  </si>
  <si>
    <t xml:space="preserve">CORTE  </t>
  </si>
  <si>
    <t>BALAYAGE RUBIO largo</t>
  </si>
  <si>
    <t>MANOS KAPPING GEL SEMI</t>
  </si>
  <si>
    <t>peinado</t>
  </si>
  <si>
    <t>CORTE PUNTAS</t>
  </si>
  <si>
    <t>BALAYAGE PLATINADO largo</t>
  </si>
  <si>
    <t>MANOS KAPPING GEL SEMI OPI</t>
  </si>
  <si>
    <t>extra por planchita</t>
  </si>
  <si>
    <t>CORTE DE BARBA</t>
  </si>
  <si>
    <t>MECHAS PAPEL 1</t>
  </si>
  <si>
    <t>MANOS SOFT GEL</t>
  </si>
  <si>
    <t>peinado especial (bucles)</t>
  </si>
  <si>
    <t xml:space="preserve">SECADO </t>
  </si>
  <si>
    <t>MECHAS PAPEL 2</t>
  </si>
  <si>
    <t>MANOS SOFT GEL SEMI</t>
  </si>
  <si>
    <t>peinado recogido</t>
  </si>
  <si>
    <t>PEINADO</t>
  </si>
  <si>
    <t>MECHAS PAPEL 3</t>
  </si>
  <si>
    <t>MANOS SOFT GEL SEMI OPI</t>
  </si>
  <si>
    <t>tratamiento sebastian/loreal</t>
  </si>
  <si>
    <t>EXTRA PLANCHITA PARA PEINADO</t>
  </si>
  <si>
    <t>MECHAS PAPEL 4</t>
  </si>
  <si>
    <t>ESMALTADO SEMI EN ACRILICAS/KAPPING/GEL</t>
  </si>
  <si>
    <t>tratamiento molecular loreal lavado incluido, peinado no incluido</t>
  </si>
  <si>
    <t>PEINADO RECOGIDO</t>
  </si>
  <si>
    <t>BITONO CON PAPEL ALUMINIO</t>
  </si>
  <si>
    <t>ESMALTADO SEMI EN ACRILICAS/KAPPING/GEL OPI</t>
  </si>
  <si>
    <t>tratamiento kerssell colgeno lavado y peinado incluido</t>
  </si>
  <si>
    <t>PEINADO semi RECOGIDO</t>
  </si>
  <si>
    <t xml:space="preserve">DOBLE BITONO </t>
  </si>
  <si>
    <t>CORTE DE UÑAS</t>
  </si>
  <si>
    <t>PEINADO ESPECIAL</t>
  </si>
  <si>
    <t>BARRIDO 1</t>
  </si>
  <si>
    <t>CAMBIO DE ESMALTE MANOS</t>
  </si>
  <si>
    <t>PEINADO cortina/extensiones</t>
  </si>
  <si>
    <t>BARRIDO 2</t>
  </si>
  <si>
    <t>RETIRO semi</t>
  </si>
  <si>
    <t>PEINADO NOVIA 15 AÑOS</t>
  </si>
  <si>
    <t>BARRIDO 3</t>
  </si>
  <si>
    <t>RETIRO ESCULPIDAS</t>
  </si>
  <si>
    <r>
      <t>color  / lavado incluido</t>
    </r>
    <r>
      <rPr>
        <b/>
        <i/>
        <sz val="11"/>
        <color rgb="FF5980C2"/>
        <rFont val="Calibri"/>
      </rPr>
      <t xml:space="preserve"> (raiz)</t>
    </r>
  </si>
  <si>
    <t>BAÑO PIGMENTACION 1</t>
  </si>
  <si>
    <t>PLATINADO 1</t>
  </si>
  <si>
    <t>DIFERENCIA FRENCH</t>
  </si>
  <si>
    <r>
      <t xml:space="preserve">color difuso / lavado incluido </t>
    </r>
    <r>
      <rPr>
        <b/>
        <i/>
        <sz val="11"/>
        <color rgb="FF5980C2"/>
        <rFont val="Calibri"/>
      </rPr>
      <t>(raiz a punta un solo color)</t>
    </r>
  </si>
  <si>
    <t>BAÑO PIGMENTACION 2</t>
  </si>
  <si>
    <t>PLATINADO 2</t>
  </si>
  <si>
    <t>DECO DE UNA UÑA</t>
  </si>
  <si>
    <t>dos trabajos de color</t>
  </si>
  <si>
    <r>
      <rPr>
        <b/>
        <i/>
        <sz val="11"/>
        <color rgb="FFFFFFFF"/>
        <rFont val="Calibri"/>
      </rPr>
      <t xml:space="preserve">AMPOLLA </t>
    </r>
    <r>
      <rPr>
        <b/>
        <i/>
        <sz val="11"/>
        <color rgb="FF002060"/>
        <rFont val="Calibri"/>
      </rPr>
      <t>loreal</t>
    </r>
    <r>
      <rPr>
        <b/>
        <i/>
        <sz val="11"/>
        <color rgb="FFFFFFFF"/>
        <rFont val="Calibri"/>
      </rPr>
      <t xml:space="preserve"> POTENCIADO BUFFER</t>
    </r>
  </si>
  <si>
    <t>PLATINADO 3</t>
  </si>
  <si>
    <t>REPARACION DE UNA UÑA</t>
  </si>
  <si>
    <r>
      <t xml:space="preserve">color inoa (sin amoniaco) / lavado incluido </t>
    </r>
    <r>
      <rPr>
        <b/>
        <i/>
        <sz val="11"/>
        <color rgb="FF5980C2"/>
        <rFont val="Calibri"/>
      </rPr>
      <t>(raiz)</t>
    </r>
  </si>
  <si>
    <r>
      <t xml:space="preserve">AMPOLLA </t>
    </r>
    <r>
      <rPr>
        <b/>
        <i/>
        <sz val="11"/>
        <color rgb="FF002060"/>
        <rFont val="Calibri"/>
        <family val="2"/>
        <scheme val="minor"/>
      </rPr>
      <t>BIOCELL</t>
    </r>
    <r>
      <rPr>
        <b/>
        <i/>
        <sz val="11"/>
        <color theme="0"/>
        <rFont val="Calibri"/>
        <family val="2"/>
        <scheme val="minor"/>
      </rPr>
      <t xml:space="preserve"> CANAS</t>
    </r>
  </si>
  <si>
    <t>PLATINADO 4</t>
  </si>
  <si>
    <t>BASE  ENDURECEDORA</t>
  </si>
  <si>
    <r>
      <t>color inoa difuso (sin amoniaco)  / lav incluido</t>
    </r>
    <r>
      <rPr>
        <b/>
        <i/>
        <sz val="11"/>
        <color rgb="FF5980C2"/>
        <rFont val="Calibri"/>
      </rPr>
      <t xml:space="preserve"> (raiz a punta un solo color)</t>
    </r>
  </si>
  <si>
    <r>
      <t xml:space="preserve">AMPOLLA </t>
    </r>
    <r>
      <rPr>
        <b/>
        <i/>
        <sz val="11"/>
        <color rgb="FF002060"/>
        <rFont val="Calibri"/>
        <family val="2"/>
        <scheme val="minor"/>
      </rPr>
      <t>YELLOW</t>
    </r>
    <r>
      <rPr>
        <b/>
        <i/>
        <sz val="11"/>
        <color theme="0"/>
        <rFont val="Calibri"/>
        <family val="2"/>
        <scheme val="minor"/>
      </rPr>
      <t xml:space="preserve"> LINO/OPCION</t>
    </r>
  </si>
  <si>
    <t>ANTI FRIZZ flequillo</t>
  </si>
  <si>
    <t>PROMO MANOS Y PIES comun</t>
  </si>
  <si>
    <t>dos trabajos de color inoa (sin amoniaco)  / lavado incluido</t>
  </si>
  <si>
    <r>
      <t xml:space="preserve">AMPOLLA </t>
    </r>
    <r>
      <rPr>
        <b/>
        <i/>
        <sz val="11"/>
        <color rgb="FF002060"/>
        <rFont val="Calibri"/>
        <family val="2"/>
        <scheme val="minor"/>
      </rPr>
      <t>EXEL</t>
    </r>
    <r>
      <rPr>
        <b/>
        <i/>
        <sz val="11"/>
        <color theme="0"/>
        <rFont val="Calibri"/>
        <family val="2"/>
        <scheme val="minor"/>
      </rPr>
      <t xml:space="preserve"> SIN/ENJUAGUE</t>
    </r>
  </si>
  <si>
    <t>ANTI FRIZZ CORTO</t>
  </si>
  <si>
    <t>PROMO MANOS Y PIES semipermanentes</t>
  </si>
  <si>
    <r>
      <t xml:space="preserve">tono sobre tono / lavado incluido </t>
    </r>
    <r>
      <rPr>
        <b/>
        <i/>
        <sz val="11"/>
        <color rgb="FF5980C2"/>
        <rFont val="Calibri"/>
        <scheme val="minor"/>
      </rPr>
      <t>(raiz)</t>
    </r>
  </si>
  <si>
    <r>
      <t xml:space="preserve">AMPOLLA </t>
    </r>
    <r>
      <rPr>
        <b/>
        <i/>
        <sz val="11"/>
        <color rgb="FF002060"/>
        <rFont val="Calibri"/>
        <family val="2"/>
        <scheme val="minor"/>
      </rPr>
      <t xml:space="preserve">HAIRTHERAPY </t>
    </r>
    <r>
      <rPr>
        <b/>
        <i/>
        <sz val="11"/>
        <color theme="0"/>
        <rFont val="Calibri"/>
        <family val="2"/>
        <scheme val="minor"/>
      </rPr>
      <t>WONDER 10/KERATINICO</t>
    </r>
  </si>
  <si>
    <t>ANTI FRIZZ MELENA</t>
  </si>
  <si>
    <t>CAMBIO DE ESMALTE PIES</t>
  </si>
  <si>
    <r>
      <t xml:space="preserve">tono sobre tono / lavado incluido </t>
    </r>
    <r>
      <rPr>
        <b/>
        <i/>
        <sz val="11"/>
        <color rgb="FF5980C2"/>
        <rFont val="Calibri"/>
      </rPr>
      <t>(raiz a punta un solo color)</t>
    </r>
  </si>
  <si>
    <r>
      <t xml:space="preserve">AMPOLLA </t>
    </r>
    <r>
      <rPr>
        <b/>
        <i/>
        <sz val="11"/>
        <color rgb="FF002060"/>
        <rFont val="Calibri"/>
        <family val="2"/>
        <scheme val="minor"/>
      </rPr>
      <t>WELLA</t>
    </r>
    <r>
      <rPr>
        <b/>
        <i/>
        <sz val="11"/>
        <color theme="0"/>
        <rFont val="Calibri"/>
        <family val="2"/>
        <scheme val="minor"/>
      </rPr>
      <t xml:space="preserve"> BRILLANCE</t>
    </r>
  </si>
  <si>
    <t>ANTI FRIZZ LARGO</t>
  </si>
  <si>
    <t xml:space="preserve">BELLEZA DE PIES </t>
  </si>
  <si>
    <t xml:space="preserve">dos trabajos tono sobre tono / lavado incluido </t>
  </si>
  <si>
    <t>CAUTERIZACION</t>
  </si>
  <si>
    <t>ANTI FRIZZ MUY LARGO</t>
  </si>
  <si>
    <t xml:space="preserve">BELLEZA DE PIES SEMI </t>
  </si>
  <si>
    <t>henna color / incluye lavado</t>
  </si>
  <si>
    <t>TRATAMIENTO CELULAS MADRES s/lavado s/peinado</t>
  </si>
  <si>
    <t>BOTOX 0 (flequillo)</t>
  </si>
  <si>
    <t>BELLEZA DE PIES SEMI OPI</t>
  </si>
  <si>
    <t>shampoo color con amoniaco (baño de luz)</t>
  </si>
  <si>
    <t>TRATAMIENTO DE ARGAN  s/lavado s/peinado</t>
  </si>
  <si>
    <t>BOTOX 1 (CORTO)</t>
  </si>
  <si>
    <t>PEDICURIA (TORNO)</t>
  </si>
  <si>
    <t>shampoo color sin amoniaco INOA (baño de luz)</t>
  </si>
  <si>
    <t>TRATAMIENTO loreal MOLECULAR lavado incluido s/peinado</t>
  </si>
  <si>
    <t>BOTOX 2 (MELENA)</t>
  </si>
  <si>
    <t xml:space="preserve">PEDICURIA (TORNO) SEMI </t>
  </si>
  <si>
    <t>ilumunacion/reflejos/mechas sistema con peine(desde)</t>
  </si>
  <si>
    <t>TRATAMIENTO kerssell colageno lavado y peinado incluido</t>
  </si>
  <si>
    <t>BOTOX 3 (LARGO)</t>
  </si>
  <si>
    <t>PEDICURIA (TORNO) SEMI OPI</t>
  </si>
  <si>
    <t>mechas con papel (desde)</t>
  </si>
  <si>
    <t>TRATAMIENTO sebastian/loreal/alfaparfp  s/lavado s/peinado</t>
  </si>
  <si>
    <t>BOTOX MUY 4 (MUY LARGO)</t>
  </si>
  <si>
    <t>PEDICURIA (BISTURI)</t>
  </si>
  <si>
    <r>
      <rPr>
        <sz val="11"/>
        <color rgb="FF00B050"/>
        <rFont val="Calibri"/>
        <scheme val="minor"/>
      </rPr>
      <t xml:space="preserve">botox o shock de keratina </t>
    </r>
    <r>
      <rPr>
        <b/>
        <i/>
        <sz val="11"/>
        <color rgb="FF00B050"/>
        <rFont val="Calibri"/>
        <scheme val="minor"/>
      </rPr>
      <t>corto</t>
    </r>
  </si>
  <si>
    <t>OLAPLEX MANTENIMIENTO paso 2</t>
  </si>
  <si>
    <t>SHOCK DE KERATINA 0 (flequillo)</t>
  </si>
  <si>
    <t>PEDICURIA (BISTURI) SEMI</t>
  </si>
  <si>
    <r>
      <rPr>
        <sz val="11"/>
        <color rgb="FF00B050"/>
        <rFont val="Calibri"/>
        <scheme val="minor"/>
      </rPr>
      <t xml:space="preserve">botox o shock de keratina </t>
    </r>
    <r>
      <rPr>
        <b/>
        <i/>
        <sz val="11"/>
        <color rgb="FF00B050"/>
        <rFont val="Calibri"/>
        <scheme val="minor"/>
      </rPr>
      <t>melena</t>
    </r>
  </si>
  <si>
    <t>OLAPLEX BAÑO DE CREMA 4 en 1</t>
  </si>
  <si>
    <t>SHOCK DE KERATINA 1 (CORTO)</t>
  </si>
  <si>
    <t>PEDICURIA (BISTURI) SEMI OPI</t>
  </si>
  <si>
    <r>
      <rPr>
        <sz val="11"/>
        <color rgb="FF00B050"/>
        <rFont val="Calibri"/>
        <scheme val="minor"/>
      </rPr>
      <t xml:space="preserve">botox o shock de keratina </t>
    </r>
    <r>
      <rPr>
        <b/>
        <i/>
        <sz val="11"/>
        <color rgb="FF00B050"/>
        <rFont val="Calibri"/>
        <scheme val="minor"/>
      </rPr>
      <t>largo</t>
    </r>
  </si>
  <si>
    <t>OLAPLEX ORIGINAL PASO 1, 2 + 4 BAñO DE CREMA</t>
  </si>
  <si>
    <t>SHOCK DE KERATINA 2 (MELENA)</t>
  </si>
  <si>
    <t>PEDICURIA PROFUNDA</t>
  </si>
  <si>
    <r>
      <rPr>
        <sz val="11"/>
        <color rgb="FF00B050"/>
        <rFont val="Calibri"/>
        <scheme val="minor"/>
      </rPr>
      <t xml:space="preserve">botox o shock de keratina </t>
    </r>
    <r>
      <rPr>
        <b/>
        <i/>
        <sz val="11"/>
        <color rgb="FF00B050"/>
        <rFont val="Calibri"/>
        <scheme val="minor"/>
      </rPr>
      <t>muy largo</t>
    </r>
  </si>
  <si>
    <t>SHAMPOO COLOR</t>
  </si>
  <si>
    <t>SHOCK DE KERATINA 3 (LARGO)</t>
  </si>
  <si>
    <t>DEPILACION BOZO</t>
  </si>
  <si>
    <t>manicuria (desde)</t>
  </si>
  <si>
    <t>SHAMPOO COLOR INOA</t>
  </si>
  <si>
    <t>SHOCK DE KERATINA 4 (MUY LARGO)</t>
  </si>
  <si>
    <t>DEPILACION DE CEJAS</t>
  </si>
  <si>
    <t>manicuria semipermanente (desde)</t>
  </si>
  <si>
    <t>½ COLOR</t>
  </si>
  <si>
    <t>MODELADO 1 CORTO</t>
  </si>
  <si>
    <t>DEPILACION DE BARBILLA</t>
  </si>
  <si>
    <t>kapping gel (desde)</t>
  </si>
  <si>
    <t>COLOR (raiz) c/lavado</t>
  </si>
  <si>
    <t>MODELADO 2 MELENA</t>
  </si>
  <si>
    <t>DEPILACION DE OREJAS</t>
  </si>
  <si>
    <t>soft gel (desde)</t>
  </si>
  <si>
    <t>COLOR DIFUSO (completo) c/lavado</t>
  </si>
  <si>
    <t>MODELADO 3 LARGO</t>
  </si>
  <si>
    <t>DEPILACION ENTRECEJOS descartable</t>
  </si>
  <si>
    <t>belleza de pies (desde)</t>
  </si>
  <si>
    <t>DOS TRABAJOS DE COLOR</t>
  </si>
  <si>
    <t>PLANCHADO contorno</t>
  </si>
  <si>
    <t>DEPILACION AXILAS</t>
  </si>
  <si>
    <t>belleza de pies semipermanente (desde)</t>
  </si>
  <si>
    <t xml:space="preserve">½ COLOR INOA </t>
  </si>
  <si>
    <t>PLANCHADO 0 FLEQUILLO</t>
  </si>
  <si>
    <t>CAVADO SIMPLE descartable</t>
  </si>
  <si>
    <t>pedicuria con torno (desde)</t>
  </si>
  <si>
    <t>COLOR INOA (raiz) c/lavado</t>
  </si>
  <si>
    <t>PLANCHADO 1 CORTO</t>
  </si>
  <si>
    <t>CAVADO PROFUNDO DESCARTABLE</t>
  </si>
  <si>
    <t>pedicuria con bisturi (desde)</t>
  </si>
  <si>
    <t>COLOR INOA DIFUSO (completo) c/lavado</t>
  </si>
  <si>
    <t>PLANCHADO 2 MELENA</t>
  </si>
  <si>
    <t>CUELLO</t>
  </si>
  <si>
    <t>pedicuria profunda (desde)</t>
  </si>
  <si>
    <t>DOS TRABAJOS DE COLOR INOA</t>
  </si>
  <si>
    <t>PLANCHADO 3 LARGO</t>
  </si>
  <si>
    <t>NARIZ</t>
  </si>
  <si>
    <t>retiro de semi</t>
  </si>
  <si>
    <t>COLOR ILUMINA c/lavado (sin amoniaco)</t>
  </si>
  <si>
    <t>PLANCHADO 4 MUY LARGO</t>
  </si>
  <si>
    <t>FOSAS NASALES</t>
  </si>
  <si>
    <t>retiro de kapping/esculpidas</t>
  </si>
  <si>
    <t>TONALIZANTE (COLOR TOUCH) c/lavado (sin amoniaco)</t>
  </si>
  <si>
    <t>ALIZADO CELULAS MADRE FLEQUILLO</t>
  </si>
  <si>
    <t>OREJAS</t>
  </si>
  <si>
    <t>maquillaje</t>
  </si>
  <si>
    <t xml:space="preserve"> </t>
  </si>
  <si>
    <t>TONO SOBRE TONO c/lavado</t>
  </si>
  <si>
    <t>ALIZADO CELULAS MADRE 1 CORTO</t>
  </si>
  <si>
    <t>PERFILADO DE CEJAS</t>
  </si>
  <si>
    <t>TONO SOBRE TONO DIFUSO (completo) c/lavado</t>
  </si>
  <si>
    <t>ALIZADO CELULAS MADRE 2 MELENA</t>
  </si>
  <si>
    <t>MAQUILLAJE</t>
  </si>
  <si>
    <t>Atención para trabajos técnicos tener en cuenta que los precios son informativos, para lograr un presupuesto exacto deberá presentarse en nuestro salón sin turno para que un profesional evalué en base a tus requerimientos y a las características de tu cabellera, el o los trabajos necesarios para lograrlo! </t>
  </si>
  <si>
    <t>DOS TRABAJOS DE TONO SOBRE TONO DIFUSO (completo) c/lavado</t>
  </si>
  <si>
    <t>ALIZADO CELULAS MADRE 3 LARGO</t>
  </si>
  <si>
    <t>PESTAÑAS individuales</t>
  </si>
  <si>
    <t>½ HENNA</t>
  </si>
  <si>
    <t>ALIZADO CELULAS MADRE 4 MUY LARGO</t>
  </si>
  <si>
    <t>PESTAÑAS postizas</t>
  </si>
  <si>
    <t>HENNA c/lavado</t>
  </si>
  <si>
    <t>EXTENCIONES HASTA 40 CM  UNIDAD</t>
  </si>
  <si>
    <t>ILUMINACION c/lavado</t>
  </si>
  <si>
    <t>EXTENCIONES + DE 40 CM  UNIDAD</t>
  </si>
  <si>
    <t>½ PATCH</t>
  </si>
  <si>
    <t>EXTRACCION O COLOCACION DE EXTENCIONES</t>
  </si>
  <si>
    <t>PATCH 1 c/lavado</t>
  </si>
  <si>
    <t>PATCH 2 c/lavado</t>
  </si>
  <si>
    <t>PATCH 3 c/lavado</t>
  </si>
  <si>
    <t>PATCH 4 c/lavado</t>
  </si>
  <si>
    <t>1 MECHA</t>
  </si>
  <si>
    <t>2 MECHA</t>
  </si>
  <si>
    <t>3 MECHA</t>
  </si>
  <si>
    <t>TEÑIDO DE CEJAS</t>
  </si>
  <si>
    <t>precio de lista</t>
  </si>
  <si>
    <t>efectivo</t>
  </si>
  <si>
    <t>BOTOX corto</t>
  </si>
  <si>
    <t>BOTOX MELENA</t>
  </si>
  <si>
    <t>BOTOX LARGO</t>
  </si>
  <si>
    <t>BOTOX MUY LARGO</t>
  </si>
  <si>
    <t>Manicuria acrilicas o esculpidas</t>
  </si>
  <si>
    <t>Manicuria acrilicas o esculpidas SEMI</t>
  </si>
  <si>
    <t>Manicuria acrilicas o esculpidas OPI</t>
  </si>
  <si>
    <t>Retiro de Semi</t>
  </si>
  <si>
    <t>Retiro de Kapping/Esculpidas</t>
  </si>
  <si>
    <t>codigo salon</t>
  </si>
  <si>
    <t>codigo barra</t>
  </si>
  <si>
    <t>codigo exel</t>
  </si>
  <si>
    <t>descipcion</t>
  </si>
  <si>
    <t>costo</t>
  </si>
  <si>
    <t>ganancia</t>
  </si>
  <si>
    <t>venta al publico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</si>
</sst>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Red]&quot;$&quot;\ \-#,##0.00"/>
    <numFmt numFmtId="165" formatCode="&quot;$&quot;\ #,##0.00"/>
    <numFmt numFmtId="166" formatCode="&quot;$&quot;\ #,##0;[Red]&quot;$&quot;\ \-#,##0"/>
  </numFmts>
  <fonts count="48">
    <font>
      <sz val="11"/>
      <color theme="1"/>
      <name val="Calibri"/>
      <family val="2"/>
      <scheme val="minor"/>
    </font>
    <font>
      <sz val="26"/>
      <color theme="1"/>
      <name val="Bauhaus 93"/>
      <family val="5"/>
    </font>
    <font>
      <sz val="11"/>
      <color theme="0"/>
      <name val="Calibri"/>
      <family val="2"/>
      <scheme val="minor"/>
    </font>
    <font>
      <b/>
      <i/>
      <sz val="11"/>
      <color theme="0"/>
      <name val="Calibri"/>
      <family val="2"/>
      <scheme val="minor"/>
    </font>
    <font>
      <b/>
      <i/>
      <sz val="26"/>
      <color theme="1"/>
      <name val="Bauhaus 93"/>
      <family val="5"/>
    </font>
    <font>
      <b/>
      <i/>
      <sz val="11"/>
      <color theme="1"/>
      <name val="Calibri"/>
      <family val="2"/>
      <scheme val="minor"/>
    </font>
    <font>
      <b/>
      <i/>
      <sz val="11"/>
      <color rgb="FFFF0000"/>
      <name val="Calibri"/>
      <family val="2"/>
      <scheme val="minor"/>
    </font>
    <font>
      <b/>
      <i/>
      <sz val="11"/>
      <color theme="1"/>
      <name val="Calibri Light"/>
      <family val="2"/>
      <scheme val="major"/>
    </font>
    <font>
      <u/>
      <sz val="11"/>
      <color theme="1"/>
      <name val="Calibri"/>
      <family val="2"/>
      <scheme val="minor"/>
    </font>
    <font>
      <b/>
      <i/>
      <sz val="11"/>
      <color rgb="FFFFFF00"/>
      <name val="Calibri"/>
      <family val="2"/>
      <scheme val="minor"/>
    </font>
    <font>
      <b/>
      <sz val="14"/>
      <color theme="0"/>
      <name val="Calibri"/>
      <family val="2"/>
      <scheme val="minor"/>
    </font>
    <font>
      <b/>
      <sz val="11"/>
      <color rgb="FFFF0000"/>
      <name val="Calibri"/>
      <family val="2"/>
      <scheme val="minor"/>
    </font>
    <font>
      <b/>
      <sz val="11"/>
      <color theme="1"/>
      <name val="Calibri"/>
      <family val="2"/>
      <scheme val="minor"/>
    </font>
    <font>
      <b/>
      <i/>
      <sz val="11"/>
      <color rgb="FF002060"/>
      <name val="Calibri"/>
      <family val="2"/>
      <scheme val="minor"/>
    </font>
    <font>
      <b/>
      <sz val="12"/>
      <color rgb="FFFF0000"/>
      <name val="Calibri"/>
      <family val="2"/>
      <scheme val="minor"/>
    </font>
    <font>
      <sz val="11"/>
      <name val="Calibri"/>
      <family val="2"/>
      <scheme val="minor"/>
    </font>
    <font>
      <b/>
      <i/>
      <sz val="11"/>
      <color theme="7"/>
      <name val="Calibri"/>
      <family val="2"/>
      <scheme val="minor"/>
    </font>
    <font>
      <b/>
      <i/>
      <sz val="11"/>
      <color theme="5" tint="0.59999389629810485"/>
      <name val="Calibri"/>
      <family val="2"/>
      <scheme val="minor"/>
    </font>
    <font>
      <b/>
      <i/>
      <sz val="11"/>
      <color rgb="FFFFC000"/>
      <name val="Calibri"/>
      <family val="2"/>
      <scheme val="minor"/>
    </font>
    <font>
      <b/>
      <i/>
      <sz val="11"/>
      <color theme="4" tint="-0.499984740745262"/>
      <name val="Calibri"/>
      <family val="2"/>
      <scheme val="minor"/>
    </font>
    <font>
      <b/>
      <i/>
      <sz val="11"/>
      <color theme="1" tint="0.249977111117893"/>
      <name val="Calibri"/>
      <family val="2"/>
      <scheme val="minor"/>
    </font>
    <font>
      <sz val="11"/>
      <color theme="1"/>
      <name val="Calibri"/>
      <family val="2"/>
      <scheme val="minor"/>
    </font>
    <font>
      <sz val="10"/>
      <color theme="0"/>
      <name val="Calibri"/>
      <charset val="1"/>
    </font>
    <font>
      <b/>
      <i/>
      <sz val="11"/>
      <color theme="3" tint="-0.499984740745262"/>
      <name val="Calibri"/>
      <family val="2"/>
      <scheme val="minor"/>
    </font>
    <font>
      <b/>
      <i/>
      <sz val="11"/>
      <color rgb="FFFFFFFF"/>
      <name val="Calibri"/>
    </font>
    <font>
      <b/>
      <i/>
      <sz val="11"/>
      <color rgb="FF002060"/>
      <name val="Calibri"/>
    </font>
    <font>
      <b/>
      <i/>
      <sz val="11"/>
      <color theme="0"/>
      <name val="Calibri"/>
    </font>
    <font>
      <sz val="11"/>
      <color theme="0"/>
      <name val="Calibri"/>
      <family val="2"/>
      <charset val="1"/>
    </font>
    <font>
      <sz val="11"/>
      <color rgb="FF000000"/>
      <name val="Calibri"/>
    </font>
    <font>
      <sz val="10"/>
      <color theme="0"/>
      <name val="Calibri"/>
      <family val="2"/>
      <charset val="1"/>
    </font>
    <font>
      <b/>
      <i/>
      <sz val="11"/>
      <color theme="5" tint="-0.249977111117893"/>
      <name val="Calibri"/>
      <family val="2"/>
      <scheme val="minor"/>
    </font>
    <font>
      <b/>
      <i/>
      <sz val="11"/>
      <color theme="1" tint="4.9989318521683403E-2"/>
      <name val="Calibri"/>
      <family val="2"/>
      <scheme val="minor"/>
    </font>
    <font>
      <b/>
      <i/>
      <sz val="11"/>
      <color rgb="FFC00000"/>
      <name val="Calibri"/>
      <family val="2"/>
      <scheme val="minor"/>
    </font>
    <font>
      <b/>
      <i/>
      <sz val="9"/>
      <color theme="1" tint="4.9989318521683403E-2"/>
      <name val="Calibri"/>
      <family val="2"/>
      <scheme val="minor"/>
    </font>
    <font>
      <sz val="11"/>
      <color rgb="FF00B050"/>
      <name val="Calibri"/>
      <family val="2"/>
      <scheme val="minor"/>
    </font>
    <font>
      <sz val="11"/>
      <color rgb="FF9966FF"/>
      <name val="Calibri"/>
      <family val="2"/>
      <scheme val="minor"/>
    </font>
    <font>
      <sz val="11"/>
      <color rgb="FF9966FF"/>
      <name val="Calibri"/>
      <scheme val="minor"/>
    </font>
    <font>
      <i/>
      <sz val="11"/>
      <color rgb="FF5980C2"/>
      <name val="Calibri"/>
    </font>
    <font>
      <b/>
      <i/>
      <sz val="11"/>
      <color rgb="FF5980C2"/>
      <name val="Calibri"/>
    </font>
    <font>
      <sz val="11"/>
      <color rgb="FF5980C2"/>
      <name val="Calibri"/>
      <family val="2"/>
      <scheme val="minor"/>
    </font>
    <font>
      <i/>
      <sz val="11"/>
      <color rgb="FF5980C2"/>
      <name val="Calibri"/>
      <family val="2"/>
      <scheme val="minor"/>
    </font>
    <font>
      <i/>
      <sz val="11"/>
      <color rgb="FF5980C2"/>
      <name val="Calibri"/>
      <scheme val="minor"/>
    </font>
    <font>
      <b/>
      <i/>
      <sz val="11"/>
      <color rgb="FF5980C2"/>
      <name val="Calibri"/>
      <scheme val="minor"/>
    </font>
    <font>
      <sz val="11"/>
      <color rgb="FFFF3399"/>
      <name val="Calibri"/>
      <family val="2"/>
      <scheme val="minor"/>
    </font>
    <font>
      <b/>
      <sz val="11"/>
      <color theme="0"/>
      <name val="Calibri"/>
      <family val="2"/>
      <scheme val="minor"/>
    </font>
    <font>
      <i/>
      <sz val="11"/>
      <name val="Calibri"/>
      <family val="2"/>
      <scheme val="minor"/>
    </font>
    <font>
      <sz val="11"/>
      <color rgb="FF00B050"/>
      <name val="Calibri"/>
      <scheme val="minor"/>
    </font>
    <font>
      <b/>
      <i/>
      <sz val="11"/>
      <color rgb="FF00B050"/>
      <name val="Calibri"/>
      <scheme val="minor"/>
    </font>
  </fonts>
  <fills count="33">
    <fill>
      <patternFill patternType="none"/>
    </fill>
    <fill>
      <patternFill patternType="gray125"/>
    </fill>
    <fill>
      <patternFill patternType="solid">
        <fgColor rgb="FFFF3399"/>
        <bgColor indexed="64"/>
      </patternFill>
    </fill>
    <fill>
      <patternFill patternType="solid">
        <fgColor rgb="FFFFFF00"/>
        <bgColor indexed="64"/>
      </patternFill>
    </fill>
    <fill>
      <patternFill patternType="solid">
        <fgColor rgb="FF00B050"/>
        <bgColor indexed="64"/>
      </patternFill>
    </fill>
    <fill>
      <patternFill patternType="solid">
        <fgColor theme="4"/>
      </patternFill>
    </fill>
    <fill>
      <patternFill patternType="solid">
        <fgColor theme="4"/>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rgb="FFFF0000"/>
        <bgColor indexed="64"/>
      </patternFill>
    </fill>
    <fill>
      <patternFill patternType="solid">
        <fgColor rgb="FF7030A0"/>
        <bgColor indexed="64"/>
      </patternFill>
    </fill>
    <fill>
      <patternFill patternType="solid">
        <fgColor theme="8" tint="-0.249977111117893"/>
        <bgColor indexed="64"/>
      </patternFill>
    </fill>
    <fill>
      <patternFill patternType="solid">
        <fgColor rgb="FF002060"/>
        <bgColor indexed="64"/>
      </patternFill>
    </fill>
    <fill>
      <patternFill patternType="solid">
        <fgColor theme="1" tint="4.9989318521683403E-2"/>
        <bgColor indexed="64"/>
      </patternFill>
    </fill>
    <fill>
      <patternFill patternType="solid">
        <fgColor theme="1"/>
        <bgColor indexed="64"/>
      </patternFill>
    </fill>
    <fill>
      <patternFill patternType="solid">
        <fgColor rgb="FF92D050"/>
        <bgColor indexed="64"/>
      </patternFill>
    </fill>
    <fill>
      <patternFill patternType="solid">
        <fgColor rgb="FF00FF00"/>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2" tint="-0.89999084444715716"/>
        <bgColor indexed="64"/>
      </patternFill>
    </fill>
    <fill>
      <patternFill patternType="solid">
        <fgColor theme="9" tint="0.39997558519241921"/>
        <bgColor indexed="64"/>
      </patternFill>
    </fill>
    <fill>
      <patternFill patternType="solid">
        <fgColor rgb="FFFFFFCC"/>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966FF"/>
        <bgColor indexed="64"/>
      </patternFill>
    </fill>
    <fill>
      <patternFill patternType="solid">
        <fgColor rgb="FF65487D"/>
        <bgColor indexed="64"/>
      </patternFill>
    </fill>
    <fill>
      <patternFill patternType="solid">
        <fgColor rgb="FF5B565E"/>
        <bgColor indexed="64"/>
      </patternFill>
    </fill>
    <fill>
      <patternFill patternType="solid">
        <fgColor rgb="FF5980C2"/>
        <bgColor indexed="64"/>
      </patternFill>
    </fill>
    <fill>
      <patternFill patternType="solid">
        <fgColor theme="5" tint="-0.249977111117893"/>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right/>
      <top style="thin">
        <color rgb="FFB2B2B2"/>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3">
    <xf numFmtId="0" fontId="0" fillId="0" borderId="0"/>
    <xf numFmtId="0" fontId="2" fillId="5" borderId="0" applyNumberFormat="0" applyBorder="0" applyAlignment="0" applyProtection="0"/>
    <xf numFmtId="0" fontId="21" fillId="24" borderId="4" applyNumberFormat="0" applyFont="0" applyAlignment="0" applyProtection="0"/>
  </cellStyleXfs>
  <cellXfs count="201">
    <xf numFmtId="0" fontId="0" fillId="0" borderId="0" xfId="0"/>
    <xf numFmtId="0" fontId="3" fillId="5" borderId="1" xfId="1" applyFont="1" applyBorder="1" applyAlignment="1">
      <alignment horizontal="center"/>
    </xf>
    <xf numFmtId="0" fontId="3" fillId="5" borderId="1" xfId="1" applyFont="1" applyBorder="1" applyAlignment="1">
      <alignment horizontal="left"/>
    </xf>
    <xf numFmtId="165" fontId="3" fillId="5" borderId="1" xfId="1" applyNumberFormat="1" applyFont="1" applyBorder="1" applyAlignment="1">
      <alignment horizontal="center"/>
    </xf>
    <xf numFmtId="0" fontId="3" fillId="5" borderId="1" xfId="1" applyFont="1" applyBorder="1"/>
    <xf numFmtId="0" fontId="5" fillId="0" borderId="0" xfId="0" applyFont="1"/>
    <xf numFmtId="0" fontId="5" fillId="0" borderId="0" xfId="0" applyFont="1" applyAlignment="1">
      <alignment horizontal="center"/>
    </xf>
    <xf numFmtId="0" fontId="3" fillId="4" borderId="1" xfId="1" applyFont="1" applyFill="1" applyBorder="1" applyAlignment="1">
      <alignment horizontal="center"/>
    </xf>
    <xf numFmtId="0" fontId="3" fillId="4" borderId="1" xfId="1" applyFont="1" applyFill="1" applyBorder="1" applyAlignment="1">
      <alignment horizontal="left"/>
    </xf>
    <xf numFmtId="0" fontId="3" fillId="6" borderId="1" xfId="0" applyFont="1" applyFill="1" applyBorder="1" applyAlignment="1">
      <alignment horizontal="center"/>
    </xf>
    <xf numFmtId="0" fontId="3" fillId="6" borderId="1" xfId="0" applyFont="1" applyFill="1" applyBorder="1"/>
    <xf numFmtId="0" fontId="3" fillId="4" borderId="1" xfId="0" applyFont="1" applyFill="1" applyBorder="1" applyAlignment="1">
      <alignment horizontal="center"/>
    </xf>
    <xf numFmtId="0" fontId="3" fillId="4" borderId="1" xfId="0" applyFont="1" applyFill="1" applyBorder="1"/>
    <xf numFmtId="0" fontId="3" fillId="7" borderId="1" xfId="0" applyFont="1" applyFill="1" applyBorder="1" applyAlignment="1">
      <alignment horizontal="center"/>
    </xf>
    <xf numFmtId="0" fontId="3" fillId="7" borderId="1" xfId="0" applyFont="1" applyFill="1" applyBorder="1"/>
    <xf numFmtId="0" fontId="3" fillId="6" borderId="1" xfId="1" applyFont="1" applyFill="1" applyBorder="1" applyAlignment="1">
      <alignment horizontal="center"/>
    </xf>
    <xf numFmtId="0" fontId="3" fillId="6" borderId="1" xfId="1" applyFont="1" applyFill="1" applyBorder="1" applyAlignment="1">
      <alignment horizontal="left"/>
    </xf>
    <xf numFmtId="0" fontId="3" fillId="8" borderId="1" xfId="1" applyFont="1" applyFill="1" applyBorder="1" applyAlignment="1">
      <alignment horizontal="center"/>
    </xf>
    <xf numFmtId="0" fontId="3" fillId="8" borderId="1" xfId="1" applyFont="1" applyFill="1" applyBorder="1" applyAlignment="1">
      <alignment horizontal="left"/>
    </xf>
    <xf numFmtId="0" fontId="3" fillId="2" borderId="1" xfId="1" applyFont="1" applyFill="1" applyBorder="1" applyAlignment="1">
      <alignment horizontal="center"/>
    </xf>
    <xf numFmtId="0" fontId="3" fillId="2" borderId="1" xfId="1" applyFont="1" applyFill="1" applyBorder="1" applyAlignment="1">
      <alignment horizontal="left"/>
    </xf>
    <xf numFmtId="0" fontId="3" fillId="2" borderId="1" xfId="0" applyFont="1" applyFill="1" applyBorder="1" applyAlignment="1">
      <alignment horizontal="center"/>
    </xf>
    <xf numFmtId="0" fontId="3" fillId="10" borderId="1" xfId="1" applyFont="1" applyFill="1" applyBorder="1" applyAlignment="1">
      <alignment horizontal="center"/>
    </xf>
    <xf numFmtId="0" fontId="3" fillId="10" borderId="1" xfId="1" applyFont="1" applyFill="1" applyBorder="1" applyAlignment="1">
      <alignment horizontal="left"/>
    </xf>
    <xf numFmtId="0" fontId="6" fillId="3" borderId="1" xfId="1" applyFont="1" applyFill="1" applyBorder="1" applyAlignment="1">
      <alignment horizontal="center"/>
    </xf>
    <xf numFmtId="0" fontId="6" fillId="3" borderId="1" xfId="1" applyFont="1" applyFill="1" applyBorder="1" applyAlignment="1">
      <alignment horizontal="left"/>
    </xf>
    <xf numFmtId="0" fontId="3" fillId="11" borderId="1" xfId="1" applyFont="1" applyFill="1" applyBorder="1" applyAlignment="1">
      <alignment horizontal="center"/>
    </xf>
    <xf numFmtId="0" fontId="3" fillId="11" borderId="1" xfId="1" applyFont="1" applyFill="1" applyBorder="1" applyAlignment="1">
      <alignment horizontal="left"/>
    </xf>
    <xf numFmtId="0" fontId="3" fillId="12" borderId="2" xfId="1" applyFont="1" applyFill="1" applyBorder="1" applyAlignment="1">
      <alignment horizontal="center"/>
    </xf>
    <xf numFmtId="0" fontId="3" fillId="0" borderId="0" xfId="1" applyFont="1" applyFill="1" applyBorder="1" applyAlignment="1">
      <alignment horizontal="left"/>
    </xf>
    <xf numFmtId="0" fontId="0" fillId="0" borderId="0" xfId="0" applyAlignment="1">
      <alignment horizontal="center" vertical="center"/>
    </xf>
    <xf numFmtId="0" fontId="7" fillId="0" borderId="0" xfId="0" applyFont="1" applyAlignment="1">
      <alignment horizontal="center" vertical="center"/>
    </xf>
    <xf numFmtId="0" fontId="8" fillId="0" borderId="0" xfId="0" applyFont="1"/>
    <xf numFmtId="165" fontId="6" fillId="0" borderId="0" xfId="1" applyNumberFormat="1" applyFont="1" applyFill="1" applyBorder="1" applyAlignment="1">
      <alignment horizontal="center"/>
    </xf>
    <xf numFmtId="0" fontId="9" fillId="13" borderId="1" xfId="1" applyFont="1" applyFill="1" applyBorder="1" applyAlignment="1">
      <alignment horizontal="center"/>
    </xf>
    <xf numFmtId="165" fontId="0" fillId="0" borderId="0" xfId="0" applyNumberFormat="1"/>
    <xf numFmtId="0" fontId="11" fillId="0" borderId="0" xfId="0" applyFont="1" applyAlignment="1">
      <alignment horizontal="center"/>
    </xf>
    <xf numFmtId="165" fontId="3" fillId="4" borderId="1" xfId="1" applyNumberFormat="1" applyFont="1" applyFill="1" applyBorder="1" applyAlignment="1">
      <alignment horizontal="center"/>
    </xf>
    <xf numFmtId="165" fontId="3" fillId="2" borderId="1" xfId="1" applyNumberFormat="1" applyFont="1" applyFill="1" applyBorder="1" applyAlignment="1">
      <alignment horizontal="center"/>
    </xf>
    <xf numFmtId="165" fontId="3" fillId="6" borderId="1" xfId="1" applyNumberFormat="1" applyFont="1" applyFill="1" applyBorder="1" applyAlignment="1">
      <alignment horizontal="center"/>
    </xf>
    <xf numFmtId="165" fontId="3" fillId="7" borderId="1" xfId="1" applyNumberFormat="1" applyFont="1" applyFill="1" applyBorder="1" applyAlignment="1">
      <alignment horizontal="center"/>
    </xf>
    <xf numFmtId="165" fontId="3" fillId="10" borderId="1" xfId="1" applyNumberFormat="1" applyFont="1" applyFill="1" applyBorder="1" applyAlignment="1">
      <alignment horizontal="center"/>
    </xf>
    <xf numFmtId="0" fontId="3" fillId="0" borderId="0" xfId="1" applyFont="1" applyFill="1" applyBorder="1" applyAlignment="1">
      <alignment horizontal="center"/>
    </xf>
    <xf numFmtId="14" fontId="0" fillId="0" borderId="0" xfId="0" applyNumberFormat="1"/>
    <xf numFmtId="16" fontId="0" fillId="0" borderId="0" xfId="0" applyNumberFormat="1"/>
    <xf numFmtId="164" fontId="0" fillId="0" borderId="1" xfId="0" applyNumberFormat="1" applyBorder="1"/>
    <xf numFmtId="0" fontId="3" fillId="10" borderId="1" xfId="1" applyFont="1" applyFill="1" applyBorder="1" applyAlignment="1">
      <alignment horizontal="center" vertical="center" wrapText="1"/>
    </xf>
    <xf numFmtId="165" fontId="3" fillId="10" borderId="1" xfId="1" applyNumberFormat="1" applyFont="1" applyFill="1" applyBorder="1" applyAlignment="1">
      <alignment horizontal="center" vertical="center" wrapText="1"/>
    </xf>
    <xf numFmtId="0" fontId="0" fillId="0" borderId="0" xfId="0" applyAlignment="1">
      <alignment horizontal="center" vertical="center" wrapText="1"/>
    </xf>
    <xf numFmtId="0" fontId="3" fillId="12" borderId="2" xfId="1"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0" borderId="3" xfId="0" applyFont="1" applyFill="1" applyBorder="1" applyAlignment="1">
      <alignment horizontal="center" vertical="center" wrapText="1"/>
    </xf>
    <xf numFmtId="165" fontId="3" fillId="10" borderId="3" xfId="1" applyNumberFormat="1" applyFont="1" applyFill="1" applyBorder="1" applyAlignment="1">
      <alignment horizontal="center" vertical="center" wrapText="1"/>
    </xf>
    <xf numFmtId="0" fontId="3" fillId="10" borderId="1" xfId="1"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3" fillId="0" borderId="0" xfId="1" applyFont="1" applyFill="1" applyBorder="1" applyAlignment="1">
      <alignment horizontal="center" vertical="center" wrapText="1"/>
    </xf>
    <xf numFmtId="165" fontId="3" fillId="0" borderId="0" xfId="1" applyNumberFormat="1" applyFont="1" applyFill="1" applyBorder="1" applyAlignment="1">
      <alignment horizontal="center" vertical="center" wrapText="1"/>
    </xf>
    <xf numFmtId="0" fontId="3" fillId="12" borderId="2" xfId="1" applyFont="1" applyFill="1" applyBorder="1" applyAlignment="1"/>
    <xf numFmtId="0" fontId="3" fillId="12" borderId="2" xfId="1" applyFont="1" applyFill="1" applyBorder="1" applyAlignment="1">
      <alignment vertical="center" wrapText="1"/>
    </xf>
    <xf numFmtId="165" fontId="3" fillId="14" borderId="1" xfId="1" applyNumberFormat="1" applyFont="1" applyFill="1" applyBorder="1" applyAlignment="1">
      <alignment horizontal="center"/>
    </xf>
    <xf numFmtId="165" fontId="3" fillId="11" borderId="1" xfId="1" applyNumberFormat="1" applyFont="1" applyFill="1" applyBorder="1" applyAlignment="1">
      <alignment horizontal="center"/>
    </xf>
    <xf numFmtId="165" fontId="3" fillId="8" borderId="1" xfId="1" applyNumberFormat="1" applyFont="1" applyFill="1" applyBorder="1" applyAlignment="1">
      <alignment horizontal="center"/>
    </xf>
    <xf numFmtId="165" fontId="3" fillId="9" borderId="1" xfId="1" applyNumberFormat="1" applyFont="1" applyFill="1" applyBorder="1" applyAlignment="1">
      <alignment horizontal="center"/>
    </xf>
    <xf numFmtId="0" fontId="9" fillId="14" borderId="1" xfId="1" applyFont="1" applyFill="1" applyBorder="1" applyAlignment="1">
      <alignment horizontal="left"/>
    </xf>
    <xf numFmtId="165" fontId="3" fillId="2" borderId="0" xfId="1" applyNumberFormat="1" applyFont="1" applyFill="1" applyBorder="1" applyAlignment="1">
      <alignment horizontal="center"/>
    </xf>
    <xf numFmtId="0" fontId="9" fillId="5" borderId="1" xfId="1" applyFont="1" applyBorder="1" applyAlignment="1">
      <alignment horizontal="center"/>
    </xf>
    <xf numFmtId="0" fontId="9" fillId="5" borderId="1" xfId="1" applyFont="1" applyBorder="1" applyAlignment="1">
      <alignment horizontal="left"/>
    </xf>
    <xf numFmtId="165" fontId="9" fillId="5" borderId="1" xfId="1" applyNumberFormat="1" applyFont="1" applyBorder="1" applyAlignment="1">
      <alignment horizontal="center"/>
    </xf>
    <xf numFmtId="0" fontId="3" fillId="17" borderId="1" xfId="1" applyFont="1" applyFill="1" applyBorder="1" applyAlignment="1">
      <alignment horizontal="center"/>
    </xf>
    <xf numFmtId="0" fontId="3" fillId="17" borderId="1" xfId="1" applyFont="1" applyFill="1" applyBorder="1" applyAlignment="1">
      <alignment horizontal="left"/>
    </xf>
    <xf numFmtId="165" fontId="3" fillId="17" borderId="1" xfId="1" applyNumberFormat="1" applyFont="1" applyFill="1" applyBorder="1" applyAlignment="1">
      <alignment horizontal="center"/>
    </xf>
    <xf numFmtId="0" fontId="9" fillId="4" borderId="1" xfId="1" applyFont="1" applyFill="1" applyBorder="1" applyAlignment="1">
      <alignment horizontal="center"/>
    </xf>
    <xf numFmtId="165" fontId="9" fillId="4" borderId="1" xfId="1" applyNumberFormat="1" applyFont="1" applyFill="1" applyBorder="1" applyAlignment="1">
      <alignment horizontal="center"/>
    </xf>
    <xf numFmtId="0" fontId="14" fillId="18" borderId="1" xfId="1" applyFont="1" applyFill="1" applyBorder="1" applyAlignment="1">
      <alignment horizontal="left"/>
    </xf>
    <xf numFmtId="0" fontId="14" fillId="18" borderId="1" xfId="1" applyFont="1" applyFill="1" applyBorder="1" applyAlignment="1">
      <alignment horizontal="center"/>
    </xf>
    <xf numFmtId="165" fontId="14" fillId="18" borderId="1" xfId="1" applyNumberFormat="1" applyFont="1" applyFill="1" applyBorder="1" applyAlignment="1">
      <alignment horizontal="center"/>
    </xf>
    <xf numFmtId="165" fontId="6" fillId="3" borderId="1" xfId="1" applyNumberFormat="1" applyFont="1" applyFill="1" applyBorder="1" applyAlignment="1">
      <alignment horizontal="center"/>
    </xf>
    <xf numFmtId="0" fontId="3" fillId="10" borderId="1" xfId="1" applyFont="1" applyFill="1" applyBorder="1" applyAlignment="1">
      <alignment horizontal="center" vertical="center"/>
    </xf>
    <xf numFmtId="0" fontId="3" fillId="10" borderId="1" xfId="1" applyFont="1" applyFill="1" applyBorder="1" applyAlignment="1">
      <alignment horizontal="left" vertical="center"/>
    </xf>
    <xf numFmtId="165" fontId="3" fillId="10" borderId="1" xfId="1" applyNumberFormat="1" applyFont="1" applyFill="1" applyBorder="1" applyAlignment="1">
      <alignment horizontal="center" vertical="center"/>
    </xf>
    <xf numFmtId="165" fontId="3" fillId="11" borderId="0" xfId="1" applyNumberFormat="1" applyFont="1" applyFill="1" applyBorder="1" applyAlignment="1">
      <alignment horizontal="center"/>
    </xf>
    <xf numFmtId="165" fontId="3" fillId="4" borderId="0" xfId="1" applyNumberFormat="1" applyFont="1" applyFill="1" applyBorder="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3" fillId="19" borderId="1" xfId="1" applyFont="1" applyFill="1" applyBorder="1" applyAlignment="1">
      <alignment horizontal="center"/>
    </xf>
    <xf numFmtId="0" fontId="3" fillId="19" borderId="1" xfId="1" applyFont="1" applyFill="1" applyBorder="1" applyAlignment="1">
      <alignment horizontal="left"/>
    </xf>
    <xf numFmtId="165" fontId="3" fillId="19" borderId="1" xfId="1" applyNumberFormat="1" applyFont="1" applyFill="1" applyBorder="1" applyAlignment="1">
      <alignment horizontal="center"/>
    </xf>
    <xf numFmtId="0" fontId="3" fillId="20" borderId="1" xfId="1" applyFont="1" applyFill="1" applyBorder="1" applyAlignment="1">
      <alignment horizontal="center"/>
    </xf>
    <xf numFmtId="0" fontId="3" fillId="20" borderId="1" xfId="1" applyFont="1" applyFill="1" applyBorder="1" applyAlignment="1">
      <alignment horizontal="left"/>
    </xf>
    <xf numFmtId="165" fontId="3" fillId="20" borderId="1" xfId="1" applyNumberFormat="1" applyFont="1" applyFill="1" applyBorder="1" applyAlignment="1">
      <alignment horizontal="center"/>
    </xf>
    <xf numFmtId="0" fontId="3" fillId="21" borderId="1" xfId="1" applyFont="1" applyFill="1" applyBorder="1" applyAlignment="1">
      <alignment horizontal="center"/>
    </xf>
    <xf numFmtId="0" fontId="3" fillId="21" borderId="1" xfId="1" applyFont="1" applyFill="1" applyBorder="1" applyAlignment="1">
      <alignment horizontal="left"/>
    </xf>
    <xf numFmtId="165" fontId="3" fillId="21" borderId="1" xfId="1" applyNumberFormat="1" applyFont="1" applyFill="1" applyBorder="1" applyAlignment="1">
      <alignment horizontal="center"/>
    </xf>
    <xf numFmtId="0" fontId="3" fillId="22" borderId="1" xfId="1" applyFont="1" applyFill="1" applyBorder="1" applyAlignment="1">
      <alignment horizontal="center"/>
    </xf>
    <xf numFmtId="0" fontId="3" fillId="22" borderId="1" xfId="1" applyFont="1" applyFill="1" applyBorder="1" applyAlignment="1">
      <alignment horizontal="left"/>
    </xf>
    <xf numFmtId="165" fontId="3" fillId="22" borderId="1" xfId="1" applyNumberFormat="1" applyFont="1" applyFill="1" applyBorder="1" applyAlignment="1">
      <alignment horizontal="center"/>
    </xf>
    <xf numFmtId="0" fontId="9" fillId="22" borderId="1" xfId="1" applyFont="1" applyFill="1" applyBorder="1" applyAlignment="1">
      <alignment horizontal="center"/>
    </xf>
    <xf numFmtId="0" fontId="9" fillId="22" borderId="1" xfId="1" applyFont="1" applyFill="1" applyBorder="1" applyAlignment="1">
      <alignment horizontal="left"/>
    </xf>
    <xf numFmtId="165" fontId="9" fillId="22" borderId="1" xfId="1" applyNumberFormat="1" applyFont="1" applyFill="1" applyBorder="1" applyAlignment="1">
      <alignment horizontal="center"/>
    </xf>
    <xf numFmtId="0" fontId="3" fillId="12" borderId="1" xfId="1" applyFont="1" applyFill="1" applyBorder="1" applyAlignment="1">
      <alignment horizontal="center"/>
    </xf>
    <xf numFmtId="0" fontId="3" fillId="12" borderId="1" xfId="1" applyFont="1" applyFill="1" applyBorder="1"/>
    <xf numFmtId="165" fontId="3" fillId="12" borderId="1" xfId="1" applyNumberFormat="1" applyFont="1" applyFill="1" applyBorder="1" applyAlignment="1">
      <alignment horizontal="center"/>
    </xf>
    <xf numFmtId="165" fontId="6" fillId="23" borderId="1" xfId="1" applyNumberFormat="1" applyFont="1" applyFill="1" applyBorder="1" applyAlignment="1">
      <alignment horizontal="center"/>
    </xf>
    <xf numFmtId="0" fontId="15" fillId="0" borderId="0" xfId="0" applyFont="1"/>
    <xf numFmtId="164" fontId="15" fillId="0" borderId="0" xfId="0" applyNumberFormat="1" applyFont="1"/>
    <xf numFmtId="165" fontId="16" fillId="4" borderId="1" xfId="0" applyNumberFormat="1" applyFont="1" applyFill="1" applyBorder="1"/>
    <xf numFmtId="165" fontId="17" fillId="2" borderId="1" xfId="1" applyNumberFormat="1" applyFont="1" applyFill="1" applyBorder="1" applyAlignment="1">
      <alignment horizontal="center"/>
    </xf>
    <xf numFmtId="165" fontId="3" fillId="12" borderId="1" xfId="1" applyNumberFormat="1" applyFont="1" applyFill="1" applyBorder="1" applyAlignment="1">
      <alignment horizontal="center" vertical="center" wrapText="1"/>
    </xf>
    <xf numFmtId="165" fontId="3" fillId="12" borderId="3" xfId="1" applyNumberFormat="1" applyFont="1" applyFill="1" applyBorder="1" applyAlignment="1">
      <alignment horizontal="center" vertical="center" wrapText="1"/>
    </xf>
    <xf numFmtId="165" fontId="20" fillId="8" borderId="1" xfId="1" applyNumberFormat="1" applyFont="1" applyFill="1" applyBorder="1" applyAlignment="1">
      <alignment horizontal="center"/>
    </xf>
    <xf numFmtId="0" fontId="5" fillId="3" borderId="1" xfId="1" applyFont="1" applyFill="1" applyBorder="1" applyAlignment="1">
      <alignment horizontal="center"/>
    </xf>
    <xf numFmtId="0" fontId="5" fillId="3" borderId="1" xfId="1" applyFont="1" applyFill="1" applyBorder="1" applyAlignment="1">
      <alignment horizontal="left"/>
    </xf>
    <xf numFmtId="165" fontId="5" fillId="3" borderId="1" xfId="1" applyNumberFormat="1" applyFont="1" applyFill="1" applyBorder="1" applyAlignment="1">
      <alignment horizontal="center"/>
    </xf>
    <xf numFmtId="0" fontId="18" fillId="11" borderId="1" xfId="1" applyFont="1" applyFill="1" applyBorder="1" applyAlignment="1">
      <alignment horizontal="center"/>
    </xf>
    <xf numFmtId="0" fontId="18" fillId="11" borderId="1" xfId="1" applyFont="1" applyFill="1" applyBorder="1" applyAlignment="1">
      <alignment horizontal="left"/>
    </xf>
    <xf numFmtId="165" fontId="18" fillId="11" borderId="1" xfId="1" applyNumberFormat="1" applyFont="1" applyFill="1" applyBorder="1" applyAlignment="1">
      <alignment horizontal="center"/>
    </xf>
    <xf numFmtId="0" fontId="19" fillId="3" borderId="1" xfId="1" applyFont="1" applyFill="1" applyBorder="1" applyAlignment="1">
      <alignment horizontal="center"/>
    </xf>
    <xf numFmtId="0" fontId="19" fillId="3" borderId="1" xfId="1" applyFont="1" applyFill="1" applyBorder="1" applyAlignment="1">
      <alignment horizontal="left"/>
    </xf>
    <xf numFmtId="165" fontId="19" fillId="3" borderId="1" xfId="1" applyNumberFormat="1" applyFont="1" applyFill="1" applyBorder="1" applyAlignment="1">
      <alignment horizontal="center"/>
    </xf>
    <xf numFmtId="164" fontId="0" fillId="15" borderId="6" xfId="0" applyNumberFormat="1" applyFill="1" applyBorder="1"/>
    <xf numFmtId="0" fontId="12" fillId="16" borderId="7" xfId="0" applyFont="1" applyFill="1" applyBorder="1"/>
    <xf numFmtId="0" fontId="12" fillId="16" borderId="7" xfId="0" applyFont="1" applyFill="1" applyBorder="1" applyAlignment="1">
      <alignment vertical="center"/>
    </xf>
    <xf numFmtId="165" fontId="20" fillId="25" borderId="1" xfId="1" applyNumberFormat="1" applyFont="1" applyFill="1" applyBorder="1" applyAlignment="1">
      <alignment horizontal="center"/>
    </xf>
    <xf numFmtId="0" fontId="23" fillId="16" borderId="1" xfId="1" applyFont="1" applyFill="1" applyBorder="1" applyAlignment="1">
      <alignment horizontal="center"/>
    </xf>
    <xf numFmtId="0" fontId="23" fillId="16" borderId="1" xfId="1" applyFont="1" applyFill="1" applyBorder="1" applyAlignment="1">
      <alignment horizontal="left"/>
    </xf>
    <xf numFmtId="165" fontId="23" fillId="16" borderId="1" xfId="1" applyNumberFormat="1" applyFont="1" applyFill="1" applyBorder="1" applyAlignment="1">
      <alignment horizontal="center"/>
    </xf>
    <xf numFmtId="0" fontId="26" fillId="17" borderId="1" xfId="1" applyFont="1" applyFill="1" applyBorder="1" applyAlignment="1">
      <alignment horizontal="left"/>
    </xf>
    <xf numFmtId="0" fontId="12" fillId="26" borderId="7" xfId="0" applyFont="1" applyFill="1" applyBorder="1"/>
    <xf numFmtId="164" fontId="0" fillId="26" borderId="6" xfId="0" applyNumberFormat="1" applyFill="1" applyBorder="1"/>
    <xf numFmtId="0" fontId="3" fillId="27" borderId="1" xfId="1" applyFont="1" applyFill="1" applyBorder="1" applyAlignment="1">
      <alignment horizontal="center"/>
    </xf>
    <xf numFmtId="0" fontId="3" fillId="27" borderId="1" xfId="1" applyFont="1" applyFill="1" applyBorder="1" applyAlignment="1">
      <alignment horizontal="left"/>
    </xf>
    <xf numFmtId="165" fontId="3" fillId="27" borderId="1" xfId="1" applyNumberFormat="1" applyFont="1" applyFill="1" applyBorder="1" applyAlignment="1">
      <alignment horizontal="center"/>
    </xf>
    <xf numFmtId="0" fontId="3" fillId="27" borderId="1" xfId="1" applyFont="1" applyFill="1" applyBorder="1" applyAlignment="1">
      <alignment horizontal="center" vertical="center"/>
    </xf>
    <xf numFmtId="0" fontId="3" fillId="27" borderId="1" xfId="1" applyFont="1" applyFill="1" applyBorder="1" applyAlignment="1">
      <alignment horizontal="left" vertical="center"/>
    </xf>
    <xf numFmtId="165" fontId="3" fillId="27" borderId="1" xfId="1" applyNumberFormat="1" applyFont="1" applyFill="1" applyBorder="1" applyAlignment="1">
      <alignment horizontal="center" vertical="center"/>
    </xf>
    <xf numFmtId="0" fontId="3" fillId="28" borderId="1" xfId="1" applyFont="1" applyFill="1" applyBorder="1" applyAlignment="1">
      <alignment horizontal="center"/>
    </xf>
    <xf numFmtId="0" fontId="3" fillId="28" borderId="1" xfId="1" applyFont="1" applyFill="1" applyBorder="1" applyAlignment="1">
      <alignment horizontal="left"/>
    </xf>
    <xf numFmtId="165" fontId="3" fillId="28" borderId="1" xfId="1" applyNumberFormat="1" applyFont="1" applyFill="1" applyBorder="1" applyAlignment="1">
      <alignment horizontal="center"/>
    </xf>
    <xf numFmtId="0" fontId="3" fillId="29" borderId="1" xfId="1" applyFont="1" applyFill="1" applyBorder="1" applyAlignment="1">
      <alignment horizontal="center"/>
    </xf>
    <xf numFmtId="0" fontId="3" fillId="29" borderId="1" xfId="1" applyFont="1" applyFill="1" applyBorder="1" applyAlignment="1">
      <alignment horizontal="left"/>
    </xf>
    <xf numFmtId="165" fontId="3" fillId="29" borderId="1" xfId="1" applyNumberFormat="1" applyFont="1" applyFill="1" applyBorder="1" applyAlignment="1">
      <alignment horizontal="center"/>
    </xf>
    <xf numFmtId="0" fontId="3" fillId="29" borderId="1" xfId="1" applyFont="1" applyFill="1" applyBorder="1" applyAlignment="1">
      <alignment horizontal="center" vertical="center"/>
    </xf>
    <xf numFmtId="0" fontId="3" fillId="29" borderId="1" xfId="1" applyFont="1" applyFill="1" applyBorder="1" applyAlignment="1">
      <alignment vertical="center"/>
    </xf>
    <xf numFmtId="165" fontId="3" fillId="29" borderId="1" xfId="1" applyNumberFormat="1" applyFont="1" applyFill="1" applyBorder="1" applyAlignment="1">
      <alignment horizontal="center" vertical="center"/>
    </xf>
    <xf numFmtId="0" fontId="3" fillId="30" borderId="1" xfId="1" applyFont="1" applyFill="1" applyBorder="1" applyAlignment="1">
      <alignment horizontal="center"/>
    </xf>
    <xf numFmtId="0" fontId="3" fillId="30" borderId="1" xfId="1" applyFont="1" applyFill="1" applyBorder="1" applyAlignment="1">
      <alignment horizontal="left"/>
    </xf>
    <xf numFmtId="165" fontId="3" fillId="30" borderId="1" xfId="1" applyNumberFormat="1" applyFont="1" applyFill="1" applyBorder="1" applyAlignment="1">
      <alignment horizontal="center"/>
    </xf>
    <xf numFmtId="165" fontId="3" fillId="0" borderId="0" xfId="1" applyNumberFormat="1" applyFont="1" applyFill="1" applyBorder="1" applyAlignment="1">
      <alignment horizontal="center"/>
    </xf>
    <xf numFmtId="165" fontId="3" fillId="0" borderId="0" xfId="1" applyNumberFormat="1" applyFont="1" applyFill="1" applyBorder="1" applyAlignment="1">
      <alignment horizontal="center" vertical="center"/>
    </xf>
    <xf numFmtId="0" fontId="22" fillId="0" borderId="5" xfId="2" applyFont="1" applyFill="1" applyBorder="1" applyAlignment="1">
      <alignment horizontal="center" vertical="center" wrapText="1"/>
    </xf>
    <xf numFmtId="0" fontId="28" fillId="0" borderId="0" xfId="0" applyFont="1"/>
    <xf numFmtId="0" fontId="10" fillId="14" borderId="0" xfId="0" applyFont="1" applyFill="1"/>
    <xf numFmtId="0" fontId="10" fillId="0" borderId="0" xfId="0" applyFont="1"/>
    <xf numFmtId="0" fontId="27" fillId="0" borderId="0" xfId="0" applyFont="1" applyAlignment="1">
      <alignment vertical="center" wrapText="1"/>
    </xf>
    <xf numFmtId="0" fontId="3" fillId="31" borderId="1" xfId="1" applyFont="1" applyFill="1" applyBorder="1" applyAlignment="1">
      <alignment horizontal="center"/>
    </xf>
    <xf numFmtId="0" fontId="3" fillId="31" borderId="1" xfId="1" applyFont="1" applyFill="1" applyBorder="1" applyAlignment="1">
      <alignment horizontal="left"/>
    </xf>
    <xf numFmtId="165" fontId="3" fillId="31" borderId="1" xfId="1" applyNumberFormat="1" applyFont="1" applyFill="1" applyBorder="1" applyAlignment="1">
      <alignment horizontal="center"/>
    </xf>
    <xf numFmtId="0" fontId="0" fillId="0" borderId="0" xfId="0" applyAlignment="1">
      <alignment horizontal="center"/>
    </xf>
    <xf numFmtId="0" fontId="10" fillId="14" borderId="0" xfId="0" applyFont="1" applyFill="1" applyAlignment="1">
      <alignment horizontal="center"/>
    </xf>
    <xf numFmtId="165" fontId="0" fillId="0" borderId="6" xfId="0" applyNumberFormat="1" applyBorder="1" applyAlignment="1">
      <alignment horizontal="center"/>
    </xf>
    <xf numFmtId="165" fontId="0" fillId="26" borderId="6" xfId="0" applyNumberFormat="1" applyFill="1" applyBorder="1" applyAlignment="1">
      <alignment horizontal="center"/>
    </xf>
    <xf numFmtId="165" fontId="0" fillId="0" borderId="6" xfId="0" applyNumberFormat="1" applyBorder="1" applyAlignment="1">
      <alignment horizontal="center" vertical="center"/>
    </xf>
    <xf numFmtId="0" fontId="30" fillId="3" borderId="1" xfId="1" applyFont="1" applyFill="1" applyBorder="1" applyAlignment="1">
      <alignment horizontal="center"/>
    </xf>
    <xf numFmtId="0" fontId="30" fillId="3" borderId="1" xfId="1" applyFont="1" applyFill="1" applyBorder="1" applyAlignment="1">
      <alignment horizontal="left"/>
    </xf>
    <xf numFmtId="165" fontId="30" fillId="3" borderId="1" xfId="1" applyNumberFormat="1" applyFont="1" applyFill="1" applyBorder="1" applyAlignment="1">
      <alignment horizontal="center"/>
    </xf>
    <xf numFmtId="0" fontId="31" fillId="3" borderId="1" xfId="1" applyFont="1" applyFill="1" applyBorder="1" applyAlignment="1">
      <alignment horizontal="center"/>
    </xf>
    <xf numFmtId="165" fontId="31" fillId="3" borderId="1" xfId="1" applyNumberFormat="1" applyFont="1" applyFill="1" applyBorder="1" applyAlignment="1">
      <alignment horizontal="center"/>
    </xf>
    <xf numFmtId="0" fontId="31" fillId="32" borderId="1" xfId="1" applyFont="1" applyFill="1" applyBorder="1" applyAlignment="1">
      <alignment horizontal="center"/>
    </xf>
    <xf numFmtId="165" fontId="31" fillId="32" borderId="1" xfId="1" applyNumberFormat="1" applyFont="1" applyFill="1" applyBorder="1" applyAlignment="1">
      <alignment horizontal="center"/>
    </xf>
    <xf numFmtId="0" fontId="31" fillId="18" borderId="1" xfId="1" applyFont="1" applyFill="1" applyBorder="1" applyAlignment="1">
      <alignment horizontal="center"/>
    </xf>
    <xf numFmtId="165" fontId="31" fillId="18" borderId="1" xfId="1" applyNumberFormat="1" applyFont="1" applyFill="1" applyBorder="1" applyAlignment="1">
      <alignment horizontal="center"/>
    </xf>
    <xf numFmtId="0" fontId="32" fillId="23" borderId="1" xfId="1" applyFont="1" applyFill="1" applyBorder="1" applyAlignment="1">
      <alignment horizontal="center"/>
    </xf>
    <xf numFmtId="0" fontId="32" fillId="23" borderId="1" xfId="1" applyFont="1" applyFill="1" applyBorder="1" applyAlignment="1">
      <alignment horizontal="left"/>
    </xf>
    <xf numFmtId="165" fontId="32" fillId="23" borderId="1" xfId="1" applyNumberFormat="1" applyFont="1" applyFill="1" applyBorder="1" applyAlignment="1">
      <alignment horizontal="center"/>
    </xf>
    <xf numFmtId="0" fontId="32" fillId="23" borderId="1" xfId="1" applyFont="1" applyFill="1" applyBorder="1"/>
    <xf numFmtId="0" fontId="33" fillId="32" borderId="1" xfId="1" applyFont="1" applyFill="1" applyBorder="1"/>
    <xf numFmtId="0" fontId="33" fillId="3" borderId="1" xfId="1" applyFont="1" applyFill="1" applyBorder="1"/>
    <xf numFmtId="0" fontId="33" fillId="18" borderId="1" xfId="1" applyFont="1" applyFill="1" applyBorder="1"/>
    <xf numFmtId="0" fontId="35" fillId="0" borderId="0" xfId="0" applyFont="1"/>
    <xf numFmtId="0" fontId="36" fillId="0" borderId="0" xfId="0" applyFont="1"/>
    <xf numFmtId="0" fontId="37" fillId="0" borderId="0" xfId="0" applyFont="1"/>
    <xf numFmtId="0" fontId="40" fillId="0" borderId="0" xfId="0" applyFont="1"/>
    <xf numFmtId="0" fontId="41" fillId="0" borderId="0" xfId="0" applyFont="1"/>
    <xf numFmtId="0" fontId="43" fillId="0" borderId="0" xfId="0" applyFont="1"/>
    <xf numFmtId="0" fontId="44" fillId="4" borderId="0" xfId="0" applyFont="1" applyFill="1" applyAlignment="1">
      <alignment horizontal="center" vertical="center"/>
    </xf>
    <xf numFmtId="0" fontId="45" fillId="0" borderId="0" xfId="0" applyFont="1"/>
    <xf numFmtId="0" fontId="46" fillId="0" borderId="0" xfId="0" applyFont="1"/>
    <xf numFmtId="166" fontId="15" fillId="0" borderId="0" xfId="0" applyNumberFormat="1" applyFont="1" applyAlignment="1">
      <alignment horizontal="center"/>
    </xf>
    <xf numFmtId="166" fontId="0" fillId="0" borderId="0" xfId="0" applyNumberFormat="1" applyAlignment="1">
      <alignment horizontal="center"/>
    </xf>
    <xf numFmtId="166" fontId="43" fillId="0" borderId="0" xfId="0" applyNumberFormat="1" applyFont="1" applyAlignment="1">
      <alignment horizontal="center"/>
    </xf>
    <xf numFmtId="166" fontId="39" fillId="0" borderId="0" xfId="0" applyNumberFormat="1" applyFont="1" applyAlignment="1">
      <alignment horizontal="center"/>
    </xf>
    <xf numFmtId="166" fontId="40" fillId="0" borderId="0" xfId="0" applyNumberFormat="1" applyFont="1" applyAlignment="1">
      <alignment horizontal="center"/>
    </xf>
    <xf numFmtId="166" fontId="34" fillId="0" borderId="0" xfId="0" applyNumberFormat="1" applyFont="1" applyAlignment="1">
      <alignment horizontal="center"/>
    </xf>
    <xf numFmtId="166" fontId="35" fillId="0" borderId="0" xfId="0" applyNumberFormat="1" applyFont="1" applyAlignment="1">
      <alignment horizontal="center"/>
    </xf>
    <xf numFmtId="166" fontId="45" fillId="0" borderId="0" xfId="0" applyNumberFormat="1" applyFont="1" applyAlignment="1">
      <alignment horizontal="center"/>
    </xf>
    <xf numFmtId="0" fontId="32" fillId="0" borderId="0" xfId="0" applyFont="1"/>
    <xf numFmtId="166" fontId="32" fillId="0" borderId="0" xfId="0" applyNumberFormat="1" applyFont="1" applyAlignment="1">
      <alignment horizontal="center"/>
    </xf>
    <xf numFmtId="0" fontId="29" fillId="14" borderId="0" xfId="0" applyFont="1" applyFill="1" applyAlignment="1">
      <alignment horizontal="center" vertical="center" wrapText="1" indent="4"/>
    </xf>
  </cellXfs>
  <cellStyles count="3">
    <cellStyle name="Énfasis1" xfId="1" builtinId="29"/>
    <cellStyle name="Normal" xfId="0" builtinId="0"/>
    <cellStyle name="Notas" xfId="2" builtinId="10"/>
  </cellStyles>
  <dxfs count="0"/>
  <tableStyles count="0" defaultTableStyle="TableStyleMedium2" defaultPivotStyle="PivotStyleLight16"/>
  <colors>
    <mruColors>
      <color rgb="FFFF3399"/>
      <color rgb="FF5980C2"/>
      <color rgb="FF9966FF"/>
      <color rgb="FF5B565E"/>
      <color rgb="FF65487D"/>
      <color rgb="FFB58ED4"/>
      <color rgb="FF33CCFF"/>
      <color rgb="FF00FF00"/>
      <color rgb="FFFFFF00"/>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8"/>
  <sheetViews>
    <sheetView workbookViewId="0">
      <selection activeCell="C2" sqref="C2"/>
    </sheetView>
  </sheetViews>
  <sheetFormatPr defaultColWidth="11.42578125" defaultRowHeight="15"/>
  <cols>
    <col min="1" max="1" width="22.28515625" bestFit="1" customWidth="1"/>
    <col min="2" max="2" width="30.7109375" customWidth="1"/>
    <col min="3" max="3" width="11.85546875" bestFit="1" customWidth="1"/>
  </cols>
  <sheetData>
    <row r="2" spans="1:3">
      <c r="A2" t="s">
        <v>0</v>
      </c>
      <c r="B2" t="s">
        <v>1</v>
      </c>
      <c r="C2" t="str">
        <f>VLOOKUP(B2,'lista de precios'!B1:B4,1,FALSE)</f>
        <v>APLICACIÓN DE PRODUCTO</v>
      </c>
    </row>
    <row r="3" spans="1:3">
      <c r="A3" t="s">
        <v>2</v>
      </c>
    </row>
    <row r="4" spans="1:3">
      <c r="A4" t="s">
        <v>3</v>
      </c>
    </row>
    <row r="5" spans="1:3">
      <c r="A5" t="s">
        <v>4</v>
      </c>
    </row>
    <row r="6" spans="1:3">
      <c r="A6" t="s">
        <v>5</v>
      </c>
    </row>
    <row r="7" spans="1:3">
      <c r="A7" t="s">
        <v>6</v>
      </c>
    </row>
    <row r="8" spans="1:3">
      <c r="A8" t="s">
        <v>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'lista de precios'!$B$1:$B$4</xm:f>
          </x14:formula1>
          <xm:sqref>B2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09"/>
  <sheetViews>
    <sheetView tabSelected="1" topLeftCell="H1" zoomScale="120" zoomScaleNormal="120" workbookViewId="0">
      <selection activeCell="V14" sqref="V14"/>
    </sheetView>
  </sheetViews>
  <sheetFormatPr defaultColWidth="11.5703125" defaultRowHeight="15"/>
  <cols>
    <col min="1" max="1" width="9.28515625" style="6" bestFit="1" customWidth="1"/>
    <col min="2" max="2" width="45.5703125" style="5" customWidth="1"/>
    <col min="3" max="3" width="12.5703125" style="6" bestFit="1" customWidth="1"/>
    <col min="4" max="4" width="13" style="83" hidden="1" customWidth="1"/>
    <col min="5" max="5" width="11.42578125" style="83" hidden="1" customWidth="1"/>
    <col min="6" max="6" width="5.7109375" customWidth="1"/>
    <col min="7" max="7" width="5.7109375" style="6" bestFit="1" customWidth="1"/>
    <col min="8" max="8" width="36.5703125" style="5" customWidth="1"/>
    <col min="9" max="9" width="12" style="6" customWidth="1"/>
    <col min="10" max="10" width="12" style="6" hidden="1" customWidth="1"/>
    <col min="11" max="11" width="14.42578125" style="6" hidden="1" customWidth="1"/>
    <col min="12" max="12" width="5.140625" customWidth="1"/>
    <col min="13" max="13" width="5.140625" bestFit="1" customWidth="1"/>
    <col min="14" max="14" width="46.85546875" customWidth="1"/>
    <col min="15" max="15" width="18.7109375" customWidth="1"/>
    <col min="16" max="17" width="11.42578125" hidden="1" customWidth="1"/>
    <col min="18" max="18" width="5.85546875" customWidth="1"/>
    <col min="19" max="19" width="6.42578125" customWidth="1"/>
    <col min="20" max="20" width="63.42578125" customWidth="1"/>
    <col min="21" max="21" width="13.28515625" style="160" customWidth="1"/>
    <col min="22" max="22" width="12.42578125" bestFit="1" customWidth="1"/>
  </cols>
  <sheetData>
    <row r="1" spans="1:22" ht="15" customHeight="1">
      <c r="A1" s="165">
        <v>879</v>
      </c>
      <c r="B1" s="166" t="s">
        <v>8</v>
      </c>
      <c r="C1" s="167">
        <v>18000</v>
      </c>
      <c r="D1" s="73">
        <v>1500</v>
      </c>
      <c r="E1" s="82">
        <f>D1*1.1</f>
        <v>1650.0000000000002</v>
      </c>
      <c r="G1" s="19">
        <v>723</v>
      </c>
      <c r="H1" s="20" t="s">
        <v>9</v>
      </c>
      <c r="I1" s="38">
        <v>84000</v>
      </c>
      <c r="J1" s="38">
        <v>38900</v>
      </c>
      <c r="K1" s="65">
        <f>J1*1.06</f>
        <v>41234</v>
      </c>
      <c r="M1" s="1">
        <v>247</v>
      </c>
      <c r="N1" s="2" t="s">
        <v>10</v>
      </c>
      <c r="O1" s="3">
        <v>15000</v>
      </c>
      <c r="P1" s="3">
        <v>6000</v>
      </c>
      <c r="Q1" s="81">
        <f>P1*1.15</f>
        <v>6899.9999999999991</v>
      </c>
      <c r="S1" s="30"/>
      <c r="T1" s="154"/>
      <c r="U1" s="161"/>
    </row>
    <row r="2" spans="1:22" ht="16.5" customHeight="1">
      <c r="A2" s="72">
        <v>424</v>
      </c>
      <c r="B2" s="8" t="s">
        <v>11</v>
      </c>
      <c r="C2" s="73">
        <v>9500</v>
      </c>
      <c r="D2" s="37">
        <v>4200</v>
      </c>
      <c r="E2" s="82">
        <f t="shared" ref="E2:E56" si="0">D2*1.1</f>
        <v>4620</v>
      </c>
      <c r="G2" s="19">
        <v>754</v>
      </c>
      <c r="H2" s="20" t="s">
        <v>12</v>
      </c>
      <c r="I2" s="38">
        <f>I1*1.2</f>
        <v>100800</v>
      </c>
      <c r="J2" s="38">
        <v>44900</v>
      </c>
      <c r="K2" s="65">
        <f t="shared" ref="K2:K42" si="1">J2*1.06</f>
        <v>47594</v>
      </c>
      <c r="M2" s="99">
        <v>250</v>
      </c>
      <c r="N2" s="100" t="s">
        <v>13</v>
      </c>
      <c r="O2" s="101">
        <f>O1+O10</f>
        <v>20000</v>
      </c>
      <c r="P2" s="101">
        <f>P1+P12</f>
        <v>9000</v>
      </c>
      <c r="Q2" s="81">
        <f t="shared" ref="Q2:Q59" si="2">P2*1.15</f>
        <v>10350</v>
      </c>
      <c r="S2" s="31"/>
      <c r="U2" s="187" t="s">
        <v>14</v>
      </c>
      <c r="V2" s="155"/>
    </row>
    <row r="3" spans="1:22" ht="15.75" customHeight="1">
      <c r="A3" s="7">
        <v>425</v>
      </c>
      <c r="B3" s="8" t="s">
        <v>15</v>
      </c>
      <c r="C3" s="37">
        <v>12000</v>
      </c>
      <c r="D3" s="37">
        <v>2500</v>
      </c>
      <c r="E3" s="82">
        <f t="shared" si="0"/>
        <v>2750</v>
      </c>
      <c r="G3" s="19">
        <v>807</v>
      </c>
      <c r="H3" s="20" t="s">
        <v>16</v>
      </c>
      <c r="I3" s="38">
        <f>I2*1.2</f>
        <v>120960</v>
      </c>
      <c r="J3" s="38">
        <v>51900</v>
      </c>
      <c r="K3" s="65">
        <f t="shared" si="1"/>
        <v>55014</v>
      </c>
      <c r="M3" s="96">
        <v>251</v>
      </c>
      <c r="N3" s="97" t="s">
        <v>17</v>
      </c>
      <c r="O3" s="101">
        <f>O$1+O11</f>
        <v>23000</v>
      </c>
      <c r="P3" s="101">
        <f>P$1+P13</f>
        <v>11500</v>
      </c>
      <c r="Q3" s="81">
        <f t="shared" si="2"/>
        <v>13224.999999999998</v>
      </c>
      <c r="S3" s="31"/>
      <c r="T3" s="106" t="s">
        <v>18</v>
      </c>
      <c r="U3" s="190">
        <f>C3</f>
        <v>12000</v>
      </c>
      <c r="V3" s="36"/>
    </row>
    <row r="4" spans="1:22" ht="15" customHeight="1">
      <c r="A4" s="7">
        <v>1</v>
      </c>
      <c r="B4" s="8" t="s">
        <v>1</v>
      </c>
      <c r="C4" s="37">
        <v>8000</v>
      </c>
      <c r="D4" s="39">
        <v>7900</v>
      </c>
      <c r="E4" s="82">
        <f t="shared" si="0"/>
        <v>8690</v>
      </c>
      <c r="G4" s="21">
        <v>849</v>
      </c>
      <c r="H4" s="20" t="s">
        <v>19</v>
      </c>
      <c r="I4" s="38">
        <f>I1*1.3</f>
        <v>109200</v>
      </c>
      <c r="J4" s="38">
        <v>46900</v>
      </c>
      <c r="K4" s="65">
        <f t="shared" si="1"/>
        <v>49714</v>
      </c>
      <c r="M4" s="126">
        <v>900</v>
      </c>
      <c r="N4" s="127" t="s">
        <v>20</v>
      </c>
      <c r="O4" s="128">
        <v>33000</v>
      </c>
      <c r="P4" s="128">
        <v>15000</v>
      </c>
      <c r="Q4" s="81">
        <f t="shared" si="2"/>
        <v>17250</v>
      </c>
      <c r="T4" s="106" t="s">
        <v>21</v>
      </c>
      <c r="U4" s="190">
        <f>C5</f>
        <v>18750</v>
      </c>
      <c r="V4" s="107"/>
    </row>
    <row r="5" spans="1:22">
      <c r="A5" s="1" t="s">
        <v>22</v>
      </c>
      <c r="B5" s="2" t="s">
        <v>23</v>
      </c>
      <c r="C5" s="39">
        <v>18750</v>
      </c>
      <c r="D5" s="39">
        <v>9900</v>
      </c>
      <c r="E5" s="82">
        <f t="shared" si="0"/>
        <v>10890</v>
      </c>
      <c r="G5" s="21">
        <v>772</v>
      </c>
      <c r="H5" s="20" t="s">
        <v>24</v>
      </c>
      <c r="I5" s="38">
        <f>I4*1.4</f>
        <v>152880</v>
      </c>
      <c r="J5" s="38">
        <v>52900</v>
      </c>
      <c r="K5" s="65">
        <f t="shared" si="1"/>
        <v>56074</v>
      </c>
      <c r="M5" s="126">
        <v>901</v>
      </c>
      <c r="N5" s="127" t="s">
        <v>25</v>
      </c>
      <c r="O5" s="128">
        <f>O4+O10</f>
        <v>38000</v>
      </c>
      <c r="P5" s="128">
        <f>P4+P12</f>
        <v>18000</v>
      </c>
      <c r="Q5" s="81">
        <f t="shared" si="2"/>
        <v>20700</v>
      </c>
      <c r="T5" s="106" t="s">
        <v>26</v>
      </c>
      <c r="U5" s="190">
        <f>C9</f>
        <v>12000</v>
      </c>
      <c r="V5" s="107"/>
    </row>
    <row r="6" spans="1:22">
      <c r="A6" s="1">
        <v>951</v>
      </c>
      <c r="B6" s="2" t="s">
        <v>27</v>
      </c>
      <c r="C6" s="39">
        <v>14000</v>
      </c>
      <c r="D6" s="39">
        <v>3800</v>
      </c>
      <c r="E6" s="82">
        <f t="shared" si="0"/>
        <v>4180</v>
      </c>
      <c r="G6" s="21">
        <v>773</v>
      </c>
      <c r="H6" s="20" t="s">
        <v>28</v>
      </c>
      <c r="I6" s="38">
        <f>I5*1.25</f>
        <v>191100</v>
      </c>
      <c r="J6" s="38">
        <v>62900</v>
      </c>
      <c r="K6" s="65">
        <f t="shared" si="1"/>
        <v>66674</v>
      </c>
      <c r="M6" s="126">
        <v>902</v>
      </c>
      <c r="N6" s="127" t="s">
        <v>29</v>
      </c>
      <c r="O6" s="128">
        <f>O4+O11</f>
        <v>41000</v>
      </c>
      <c r="P6" s="128">
        <f>P4+P13</f>
        <v>20500</v>
      </c>
      <c r="Q6" s="81">
        <f t="shared" si="2"/>
        <v>23574.999999999996</v>
      </c>
      <c r="T6" t="s">
        <v>30</v>
      </c>
      <c r="U6" s="191">
        <f>C10</f>
        <v>5000</v>
      </c>
      <c r="V6" s="107"/>
    </row>
    <row r="7" spans="1:22">
      <c r="A7" s="1">
        <v>339</v>
      </c>
      <c r="B7" s="2" t="s">
        <v>31</v>
      </c>
      <c r="C7" s="39">
        <v>10000</v>
      </c>
      <c r="D7" s="39">
        <v>3200</v>
      </c>
      <c r="E7" s="82">
        <f t="shared" si="0"/>
        <v>3520.0000000000005</v>
      </c>
      <c r="G7" s="17">
        <v>665</v>
      </c>
      <c r="H7" s="18" t="s">
        <v>32</v>
      </c>
      <c r="I7" s="62">
        <v>80000</v>
      </c>
      <c r="J7" s="62">
        <v>26900</v>
      </c>
      <c r="K7" s="65">
        <f t="shared" si="1"/>
        <v>28514</v>
      </c>
      <c r="M7" s="87">
        <v>838</v>
      </c>
      <c r="N7" s="88" t="s">
        <v>33</v>
      </c>
      <c r="O7" s="89">
        <v>43000</v>
      </c>
      <c r="P7" s="89">
        <v>18000</v>
      </c>
      <c r="Q7" s="81">
        <f t="shared" si="2"/>
        <v>20700</v>
      </c>
      <c r="T7" s="106" t="s">
        <v>34</v>
      </c>
      <c r="U7" s="190">
        <f>C14</f>
        <v>27599.999999999996</v>
      </c>
      <c r="V7" s="107"/>
    </row>
    <row r="8" spans="1:22">
      <c r="A8" s="7">
        <v>355</v>
      </c>
      <c r="B8" s="8" t="s">
        <v>35</v>
      </c>
      <c r="C8" s="37">
        <v>8000</v>
      </c>
      <c r="D8" s="37">
        <v>4500</v>
      </c>
      <c r="E8" s="82">
        <f t="shared" si="0"/>
        <v>4950</v>
      </c>
      <c r="G8" s="17">
        <v>892</v>
      </c>
      <c r="H8" s="18" t="s">
        <v>36</v>
      </c>
      <c r="I8" s="62">
        <f>I7*1.3</f>
        <v>104000</v>
      </c>
      <c r="J8" s="62">
        <v>34900</v>
      </c>
      <c r="K8" s="65">
        <f t="shared" si="1"/>
        <v>36994</v>
      </c>
      <c r="M8" s="87">
        <v>839</v>
      </c>
      <c r="N8" s="88" t="s">
        <v>37</v>
      </c>
      <c r="O8" s="89">
        <f>O7+O10</f>
        <v>48000</v>
      </c>
      <c r="P8" s="112">
        <v>18000</v>
      </c>
      <c r="Q8" s="81">
        <f t="shared" si="2"/>
        <v>20700</v>
      </c>
      <c r="T8" s="106" t="s">
        <v>38</v>
      </c>
      <c r="U8" s="190">
        <f>C11</f>
        <v>39600</v>
      </c>
      <c r="V8" s="107"/>
    </row>
    <row r="9" spans="1:22">
      <c r="A9" s="7">
        <v>432</v>
      </c>
      <c r="B9" s="8" t="s">
        <v>39</v>
      </c>
      <c r="C9" s="37">
        <v>12000</v>
      </c>
      <c r="D9" s="37">
        <v>6000</v>
      </c>
      <c r="E9" s="82">
        <f t="shared" si="0"/>
        <v>6600.0000000000009</v>
      </c>
      <c r="G9" s="17">
        <v>755</v>
      </c>
      <c r="H9" s="18" t="s">
        <v>40</v>
      </c>
      <c r="I9" s="62">
        <f>$I$8*1.3</f>
        <v>135200</v>
      </c>
      <c r="J9" s="62">
        <v>41900</v>
      </c>
      <c r="K9" s="65">
        <f t="shared" si="1"/>
        <v>44414</v>
      </c>
      <c r="M9" s="87">
        <v>840</v>
      </c>
      <c r="N9" s="88" t="s">
        <v>41</v>
      </c>
      <c r="O9" s="89">
        <f>O7+O11</f>
        <v>51000</v>
      </c>
      <c r="P9" s="112">
        <f>P8+P12</f>
        <v>21000</v>
      </c>
      <c r="Q9" s="81">
        <f t="shared" si="2"/>
        <v>24149.999999999996</v>
      </c>
      <c r="T9" s="186" t="s">
        <v>42</v>
      </c>
      <c r="U9" s="192">
        <f>C29</f>
        <v>30000</v>
      </c>
      <c r="V9" s="107"/>
    </row>
    <row r="10" spans="1:22">
      <c r="A10" s="26">
        <v>387</v>
      </c>
      <c r="B10" s="27" t="s">
        <v>43</v>
      </c>
      <c r="C10" s="61">
        <v>5000</v>
      </c>
      <c r="D10" s="61">
        <v>3800</v>
      </c>
      <c r="E10" s="82">
        <f t="shared" si="0"/>
        <v>4180</v>
      </c>
      <c r="G10" s="17">
        <v>756</v>
      </c>
      <c r="H10" s="18" t="s">
        <v>44</v>
      </c>
      <c r="I10" s="62">
        <f>$I$9*1.3</f>
        <v>175760</v>
      </c>
      <c r="J10" s="39">
        <v>30900</v>
      </c>
      <c r="K10" s="65">
        <f t="shared" si="1"/>
        <v>32754</v>
      </c>
      <c r="M10" s="7">
        <v>911</v>
      </c>
      <c r="N10" s="8" t="s">
        <v>45</v>
      </c>
      <c r="O10" s="37">
        <v>5000</v>
      </c>
      <c r="P10" s="112">
        <f>P8+P13</f>
        <v>23500</v>
      </c>
      <c r="Q10" s="81">
        <f t="shared" si="2"/>
        <v>27024.999999999996</v>
      </c>
      <c r="T10" s="198" t="s">
        <v>46</v>
      </c>
      <c r="U10" s="199">
        <f>C27</f>
        <v>46000</v>
      </c>
      <c r="V10" s="107"/>
    </row>
    <row r="11" spans="1:22">
      <c r="A11" s="7">
        <v>353</v>
      </c>
      <c r="B11" s="8" t="s">
        <v>47</v>
      </c>
      <c r="C11" s="37">
        <f>C9*3.3</f>
        <v>39600</v>
      </c>
      <c r="D11" s="37">
        <v>16000</v>
      </c>
      <c r="E11" s="82">
        <f t="shared" si="0"/>
        <v>17600</v>
      </c>
      <c r="G11" s="1">
        <v>17</v>
      </c>
      <c r="H11" s="4" t="s">
        <v>48</v>
      </c>
      <c r="I11" s="39">
        <f>I12*1.2</f>
        <v>75600</v>
      </c>
      <c r="J11" s="39">
        <v>26900</v>
      </c>
      <c r="K11" s="65">
        <f t="shared" si="1"/>
        <v>28514</v>
      </c>
      <c r="M11" s="7">
        <v>912</v>
      </c>
      <c r="N11" s="8" t="s">
        <v>49</v>
      </c>
      <c r="O11" s="37">
        <v>8000</v>
      </c>
      <c r="P11" s="125">
        <v>12000</v>
      </c>
      <c r="Q11" s="81">
        <f t="shared" si="2"/>
        <v>13799.999999999998</v>
      </c>
      <c r="T11" s="198" t="s">
        <v>50</v>
      </c>
      <c r="U11" s="199">
        <f>C28</f>
        <v>56500</v>
      </c>
      <c r="V11" s="107"/>
    </row>
    <row r="12" spans="1:22">
      <c r="A12" s="7">
        <v>109</v>
      </c>
      <c r="B12" s="8" t="s">
        <v>51</v>
      </c>
      <c r="C12" s="37">
        <f>C9*2.5</f>
        <v>30000</v>
      </c>
      <c r="D12" s="37">
        <v>11400</v>
      </c>
      <c r="E12" s="82">
        <f t="shared" si="0"/>
        <v>12540.000000000002</v>
      </c>
      <c r="G12" s="1">
        <v>24</v>
      </c>
      <c r="H12" s="4" t="s">
        <v>52</v>
      </c>
      <c r="I12" s="39">
        <v>63000</v>
      </c>
      <c r="J12" s="39">
        <v>21900</v>
      </c>
      <c r="K12" s="65">
        <f t="shared" si="1"/>
        <v>23214</v>
      </c>
      <c r="M12" s="1">
        <v>230</v>
      </c>
      <c r="N12" s="2" t="s">
        <v>53</v>
      </c>
      <c r="O12" s="3">
        <v>8000</v>
      </c>
      <c r="P12" s="37">
        <v>3000</v>
      </c>
      <c r="Q12" s="81">
        <f t="shared" si="2"/>
        <v>3449.9999999999995</v>
      </c>
      <c r="T12" s="186" t="str">
        <f>B30</f>
        <v>OLAPLEX MANTENIMIENTO paso 2</v>
      </c>
      <c r="U12" s="192">
        <f>C30</f>
        <v>45000</v>
      </c>
      <c r="V12" s="107"/>
    </row>
    <row r="13" spans="1:22">
      <c r="A13" s="7">
        <v>360</v>
      </c>
      <c r="B13" s="8" t="s">
        <v>54</v>
      </c>
      <c r="C13" s="37">
        <f>C9*2</f>
        <v>24000</v>
      </c>
      <c r="D13" s="37">
        <v>11400</v>
      </c>
      <c r="E13" s="82">
        <f t="shared" si="0"/>
        <v>12540.000000000002</v>
      </c>
      <c r="G13" s="1">
        <v>13</v>
      </c>
      <c r="H13" s="2" t="s">
        <v>55</v>
      </c>
      <c r="I13" s="39">
        <v>44000</v>
      </c>
      <c r="J13" s="39">
        <v>29900</v>
      </c>
      <c r="K13" s="65">
        <f t="shared" si="1"/>
        <v>31694</v>
      </c>
      <c r="M13" s="116">
        <v>227</v>
      </c>
      <c r="N13" s="117" t="s">
        <v>56</v>
      </c>
      <c r="O13" s="118">
        <v>11000</v>
      </c>
      <c r="P13" s="37">
        <v>5500</v>
      </c>
      <c r="Q13" s="81">
        <f t="shared" si="2"/>
        <v>6324.9999999999991</v>
      </c>
      <c r="T13" s="186" t="str">
        <f>B31</f>
        <v>OLAPLEX BAÑO DE CREMA 4 en 1</v>
      </c>
      <c r="U13" s="192">
        <f>C31</f>
        <v>60000</v>
      </c>
      <c r="V13" s="107"/>
    </row>
    <row r="14" spans="1:22">
      <c r="A14" s="7">
        <v>351</v>
      </c>
      <c r="B14" s="8" t="s">
        <v>57</v>
      </c>
      <c r="C14" s="37">
        <f>C9*2.3</f>
        <v>27599.999999999996</v>
      </c>
      <c r="D14" s="37">
        <v>19000</v>
      </c>
      <c r="E14" s="82">
        <f t="shared" si="0"/>
        <v>20900</v>
      </c>
      <c r="G14" s="1">
        <v>15</v>
      </c>
      <c r="H14" s="2" t="s">
        <v>58</v>
      </c>
      <c r="I14" s="39">
        <f>I13*1.3</f>
        <v>57200</v>
      </c>
      <c r="J14" s="39">
        <v>40900</v>
      </c>
      <c r="K14" s="65">
        <f t="shared" si="1"/>
        <v>43354</v>
      </c>
      <c r="M14" s="87">
        <v>501</v>
      </c>
      <c r="N14" s="88" t="s">
        <v>59</v>
      </c>
      <c r="O14" s="89">
        <v>6000</v>
      </c>
      <c r="P14" s="3">
        <v>2000</v>
      </c>
      <c r="Q14" s="81">
        <f t="shared" si="2"/>
        <v>2300</v>
      </c>
      <c r="T14" s="186" t="str">
        <f>B32</f>
        <v>OLAPLEX ORIGINAL PASO 1, 2 + 4 BAñO DE CREMA</v>
      </c>
      <c r="U14" s="192">
        <f>C32</f>
        <v>70000</v>
      </c>
      <c r="V14" s="107"/>
    </row>
    <row r="15" spans="1:22">
      <c r="A15" s="7">
        <v>352</v>
      </c>
      <c r="B15" s="8" t="s">
        <v>60</v>
      </c>
      <c r="C15" s="37">
        <f>C9*4</f>
        <v>48000</v>
      </c>
      <c r="D15" s="39">
        <v>12000</v>
      </c>
      <c r="E15" s="82">
        <f t="shared" si="0"/>
        <v>13200.000000000002</v>
      </c>
      <c r="G15" s="1">
        <v>14</v>
      </c>
      <c r="H15" s="2" t="s">
        <v>61</v>
      </c>
      <c r="I15" s="39">
        <f>I14*1.3</f>
        <v>74360</v>
      </c>
      <c r="J15" s="40">
        <v>29900</v>
      </c>
      <c r="K15" s="65">
        <f t="shared" si="1"/>
        <v>31694</v>
      </c>
      <c r="M15" s="87">
        <v>899</v>
      </c>
      <c r="N15" s="88" t="s">
        <v>62</v>
      </c>
      <c r="O15" s="89">
        <v>11000</v>
      </c>
      <c r="P15" s="118">
        <v>4500</v>
      </c>
      <c r="Q15" s="81">
        <f t="shared" si="2"/>
        <v>5175</v>
      </c>
      <c r="T15" s="183" t="s">
        <v>63</v>
      </c>
      <c r="U15" s="193">
        <f>C36</f>
        <v>45000</v>
      </c>
      <c r="V15" s="107"/>
    </row>
    <row r="16" spans="1:22" ht="15.75">
      <c r="A16" s="1">
        <v>11</v>
      </c>
      <c r="B16" s="2" t="s">
        <v>64</v>
      </c>
      <c r="C16" s="39">
        <v>35000</v>
      </c>
      <c r="D16" s="39">
        <v>16500</v>
      </c>
      <c r="E16" s="82">
        <f t="shared" si="0"/>
        <v>18150</v>
      </c>
      <c r="G16" s="13">
        <v>30</v>
      </c>
      <c r="H16" s="14" t="s">
        <v>65</v>
      </c>
      <c r="I16" s="40">
        <v>64000</v>
      </c>
      <c r="J16" s="40">
        <v>39900</v>
      </c>
      <c r="K16" s="65">
        <f t="shared" si="1"/>
        <v>42294</v>
      </c>
      <c r="M16" s="75">
        <v>256</v>
      </c>
      <c r="N16" s="74" t="s">
        <v>66</v>
      </c>
      <c r="O16" s="76">
        <v>4000</v>
      </c>
      <c r="P16" s="89">
        <v>3000</v>
      </c>
      <c r="Q16" s="81">
        <f t="shared" si="2"/>
        <v>3449.9999999999995</v>
      </c>
      <c r="T16" s="183" t="s">
        <v>67</v>
      </c>
      <c r="U16" s="193">
        <f>C37</f>
        <v>67500</v>
      </c>
      <c r="V16" s="107"/>
    </row>
    <row r="17" spans="1:22">
      <c r="A17" s="1">
        <v>12</v>
      </c>
      <c r="B17" s="2" t="s">
        <v>68</v>
      </c>
      <c r="C17" s="39">
        <v>40000</v>
      </c>
      <c r="D17" s="71">
        <v>9500</v>
      </c>
      <c r="E17" s="82">
        <f t="shared" si="0"/>
        <v>10450</v>
      </c>
      <c r="G17" s="13">
        <v>31</v>
      </c>
      <c r="H17" s="14" t="s">
        <v>69</v>
      </c>
      <c r="I17" s="40">
        <f>$I$16*1.4</f>
        <v>89600</v>
      </c>
      <c r="J17" s="40">
        <v>49900</v>
      </c>
      <c r="K17" s="65">
        <f t="shared" si="1"/>
        <v>52894</v>
      </c>
      <c r="M17" s="19">
        <v>179</v>
      </c>
      <c r="N17" s="20" t="s">
        <v>70</v>
      </c>
      <c r="O17" s="38">
        <v>2000</v>
      </c>
      <c r="P17" s="89">
        <v>4100</v>
      </c>
      <c r="Q17" s="81">
        <f t="shared" si="2"/>
        <v>4715</v>
      </c>
      <c r="T17" s="184" t="s">
        <v>71</v>
      </c>
      <c r="U17" s="193">
        <f>C38</f>
        <v>81000</v>
      </c>
      <c r="V17" s="107"/>
    </row>
    <row r="18" spans="1:22" ht="15.75">
      <c r="A18" s="69">
        <v>625</v>
      </c>
      <c r="B18" s="129" t="s">
        <v>72</v>
      </c>
      <c r="C18" s="71">
        <v>18000</v>
      </c>
      <c r="D18" s="71">
        <v>3600</v>
      </c>
      <c r="E18" s="82">
        <f t="shared" si="0"/>
        <v>3960.0000000000005</v>
      </c>
      <c r="G18" s="13">
        <v>32</v>
      </c>
      <c r="H18" s="14" t="s">
        <v>73</v>
      </c>
      <c r="I18" s="40">
        <f>$I$16*1.7</f>
        <v>108800</v>
      </c>
      <c r="J18" s="40">
        <v>59900</v>
      </c>
      <c r="K18" s="65">
        <f t="shared" si="1"/>
        <v>63494</v>
      </c>
      <c r="M18" s="93">
        <v>895</v>
      </c>
      <c r="N18" s="94" t="s">
        <v>74</v>
      </c>
      <c r="O18" s="95">
        <v>5000</v>
      </c>
      <c r="P18" s="76">
        <v>2000</v>
      </c>
      <c r="Q18" s="81">
        <f t="shared" si="2"/>
        <v>2300</v>
      </c>
      <c r="T18" s="183" t="s">
        <v>75</v>
      </c>
      <c r="U18" s="193">
        <f>C40</f>
        <v>60000</v>
      </c>
      <c r="V18" s="107"/>
    </row>
    <row r="19" spans="1:22">
      <c r="A19" s="69">
        <v>511</v>
      </c>
      <c r="B19" s="70" t="s">
        <v>76</v>
      </c>
      <c r="C19" s="71">
        <v>12000</v>
      </c>
      <c r="D19" s="71">
        <v>5200</v>
      </c>
      <c r="E19" s="82">
        <f t="shared" si="0"/>
        <v>5720.0000000000009</v>
      </c>
      <c r="G19" s="13">
        <v>906</v>
      </c>
      <c r="H19" s="14" t="s">
        <v>77</v>
      </c>
      <c r="I19" s="40">
        <f>$I$16*2</f>
        <v>128000</v>
      </c>
      <c r="J19" s="37">
        <v>12900</v>
      </c>
      <c r="K19" s="65">
        <f t="shared" si="1"/>
        <v>13674</v>
      </c>
      <c r="M19" s="66">
        <v>110</v>
      </c>
      <c r="N19" s="67" t="s">
        <v>78</v>
      </c>
      <c r="O19" s="68">
        <v>3000</v>
      </c>
      <c r="P19" s="38">
        <v>1500</v>
      </c>
      <c r="Q19" s="81">
        <f t="shared" si="2"/>
        <v>1724.9999999999998</v>
      </c>
      <c r="T19" s="183" t="s">
        <v>79</v>
      </c>
      <c r="U19" s="193">
        <f>C41</f>
        <v>90000</v>
      </c>
      <c r="V19" s="107"/>
    </row>
    <row r="20" spans="1:22">
      <c r="A20" s="69">
        <v>543</v>
      </c>
      <c r="B20" s="70" t="s">
        <v>80</v>
      </c>
      <c r="C20" s="71">
        <v>15000</v>
      </c>
      <c r="D20" s="71">
        <v>3300</v>
      </c>
      <c r="E20" s="82">
        <f t="shared" si="0"/>
        <v>3630.0000000000005</v>
      </c>
      <c r="G20" s="7">
        <v>293</v>
      </c>
      <c r="H20" s="8" t="s">
        <v>81</v>
      </c>
      <c r="I20" s="37">
        <v>14000</v>
      </c>
      <c r="J20" s="37">
        <v>35900</v>
      </c>
      <c r="K20" s="65">
        <f t="shared" si="1"/>
        <v>38054</v>
      </c>
      <c r="M20" s="34">
        <v>408</v>
      </c>
      <c r="N20" s="64" t="s">
        <v>82</v>
      </c>
      <c r="O20" s="60"/>
      <c r="P20" s="95">
        <v>1500</v>
      </c>
      <c r="Q20" s="81">
        <f t="shared" si="2"/>
        <v>1724.9999999999998</v>
      </c>
      <c r="T20" s="184" t="s">
        <v>83</v>
      </c>
      <c r="U20" s="193">
        <f>C42</f>
        <v>102000</v>
      </c>
      <c r="V20" s="107"/>
    </row>
    <row r="21" spans="1:22">
      <c r="A21" s="69">
        <v>908</v>
      </c>
      <c r="B21" s="70" t="s">
        <v>84</v>
      </c>
      <c r="C21" s="71">
        <v>11000</v>
      </c>
      <c r="D21" s="71">
        <v>2500</v>
      </c>
      <c r="E21" s="82">
        <f t="shared" si="0"/>
        <v>2750</v>
      </c>
      <c r="G21" s="7">
        <v>294</v>
      </c>
      <c r="H21" s="8" t="s">
        <v>85</v>
      </c>
      <c r="I21" s="37">
        <v>49000</v>
      </c>
      <c r="J21" s="37">
        <v>45900</v>
      </c>
      <c r="K21" s="65">
        <f t="shared" si="1"/>
        <v>48654</v>
      </c>
      <c r="M21" s="34">
        <v>420</v>
      </c>
      <c r="N21" s="64" t="s">
        <v>86</v>
      </c>
      <c r="O21" s="60"/>
      <c r="P21" s="95">
        <v>2000</v>
      </c>
      <c r="Q21" s="81">
        <f t="shared" si="2"/>
        <v>2300</v>
      </c>
      <c r="S21" s="29"/>
      <c r="T21" s="185" t="s">
        <v>87</v>
      </c>
      <c r="U21" s="194">
        <f>C45</f>
        <v>49000</v>
      </c>
      <c r="V21" s="107"/>
    </row>
    <row r="22" spans="1:22">
      <c r="A22" s="69">
        <v>947</v>
      </c>
      <c r="B22" s="70" t="s">
        <v>88</v>
      </c>
      <c r="C22" s="71">
        <v>12000</v>
      </c>
      <c r="D22" s="71">
        <v>5000</v>
      </c>
      <c r="E22" s="82">
        <f t="shared" si="0"/>
        <v>5500</v>
      </c>
      <c r="G22" s="7">
        <v>296</v>
      </c>
      <c r="H22" s="8" t="s">
        <v>89</v>
      </c>
      <c r="I22" s="37">
        <f>$I$21*1.3</f>
        <v>63700</v>
      </c>
      <c r="J22" s="37">
        <v>53900</v>
      </c>
      <c r="K22" s="65">
        <f t="shared" si="1"/>
        <v>57134</v>
      </c>
      <c r="M22" s="116">
        <v>228</v>
      </c>
      <c r="N22" s="117" t="s">
        <v>90</v>
      </c>
      <c r="O22" s="118">
        <v>14000</v>
      </c>
      <c r="P22" s="68">
        <v>2000</v>
      </c>
      <c r="Q22" s="81">
        <f t="shared" si="2"/>
        <v>2300</v>
      </c>
      <c r="S22" s="29"/>
      <c r="T22" s="183" t="s">
        <v>91</v>
      </c>
      <c r="U22" s="194">
        <f>C46</f>
        <v>73500</v>
      </c>
    </row>
    <row r="23" spans="1:22">
      <c r="A23" s="69">
        <v>634</v>
      </c>
      <c r="B23" s="70" t="s">
        <v>92</v>
      </c>
      <c r="C23" s="71">
        <v>15000</v>
      </c>
      <c r="D23" s="71">
        <v>7600</v>
      </c>
      <c r="E23" s="82">
        <f t="shared" si="0"/>
        <v>8360</v>
      </c>
      <c r="G23" s="7">
        <v>295</v>
      </c>
      <c r="H23" s="8" t="s">
        <v>93</v>
      </c>
      <c r="I23" s="37">
        <f>$I$21*1.5</f>
        <v>73500</v>
      </c>
      <c r="J23" s="37">
        <v>69900</v>
      </c>
      <c r="K23" s="65">
        <f t="shared" si="1"/>
        <v>74094</v>
      </c>
      <c r="M23" s="113">
        <v>223</v>
      </c>
      <c r="N23" s="114" t="s">
        <v>94</v>
      </c>
      <c r="O23" s="115">
        <v>21000</v>
      </c>
      <c r="P23" s="60"/>
      <c r="Q23" s="81">
        <f t="shared" si="2"/>
        <v>0</v>
      </c>
      <c r="S23" s="29"/>
      <c r="T23" s="183" t="s">
        <v>95</v>
      </c>
      <c r="U23" s="194">
        <f>C47</f>
        <v>83300</v>
      </c>
    </row>
    <row r="24" spans="1:22">
      <c r="A24" s="1">
        <v>429</v>
      </c>
      <c r="B24" s="2" t="s">
        <v>96</v>
      </c>
      <c r="C24" s="39">
        <v>20000</v>
      </c>
      <c r="D24" s="71">
        <v>5800</v>
      </c>
      <c r="E24" s="82">
        <f t="shared" si="0"/>
        <v>6380.0000000000009</v>
      </c>
      <c r="G24" s="7">
        <v>297</v>
      </c>
      <c r="H24" s="8" t="s">
        <v>97</v>
      </c>
      <c r="I24" s="37">
        <f>$I$21*1.9</f>
        <v>93100</v>
      </c>
      <c r="J24" s="39">
        <v>15000</v>
      </c>
      <c r="K24" s="65">
        <f t="shared" si="1"/>
        <v>15900</v>
      </c>
      <c r="M24" s="113">
        <v>224</v>
      </c>
      <c r="N24" s="114" t="s">
        <v>98</v>
      </c>
      <c r="O24" s="115">
        <f>O23+O10</f>
        <v>26000</v>
      </c>
      <c r="P24" s="60"/>
      <c r="Q24" s="81">
        <f t="shared" si="2"/>
        <v>0</v>
      </c>
      <c r="S24" s="29"/>
      <c r="T24" s="184" t="s">
        <v>99</v>
      </c>
      <c r="U24" s="194">
        <f>C49</f>
        <v>47000</v>
      </c>
    </row>
    <row r="25" spans="1:22">
      <c r="A25" s="174">
        <v>929</v>
      </c>
      <c r="B25" s="175" t="s">
        <v>100</v>
      </c>
      <c r="C25" s="176">
        <v>20000</v>
      </c>
      <c r="D25" s="39">
        <v>9400</v>
      </c>
      <c r="E25" s="82">
        <f t="shared" si="0"/>
        <v>10340</v>
      </c>
      <c r="G25" s="15">
        <v>784</v>
      </c>
      <c r="H25" s="16" t="s">
        <v>101</v>
      </c>
      <c r="I25" s="39">
        <v>16000</v>
      </c>
      <c r="J25" s="39">
        <v>20000</v>
      </c>
      <c r="K25" s="65">
        <f t="shared" si="1"/>
        <v>21200</v>
      </c>
      <c r="M25" s="113">
        <v>225</v>
      </c>
      <c r="N25" s="114" t="s">
        <v>102</v>
      </c>
      <c r="O25" s="115">
        <f>O23+O11</f>
        <v>29000</v>
      </c>
      <c r="P25" s="118">
        <v>5000</v>
      </c>
      <c r="Q25" s="81">
        <f t="shared" si="2"/>
        <v>5750</v>
      </c>
      <c r="S25" s="29"/>
      <c r="T25" s="184" t="s">
        <v>103</v>
      </c>
      <c r="U25" s="194">
        <f>C33</f>
        <v>35000</v>
      </c>
    </row>
    <row r="26" spans="1:22">
      <c r="A26" s="174">
        <v>331</v>
      </c>
      <c r="B26" s="177" t="s">
        <v>104</v>
      </c>
      <c r="C26" s="176">
        <v>16000</v>
      </c>
      <c r="D26" s="39">
        <v>10600</v>
      </c>
      <c r="E26" s="82">
        <f t="shared" si="0"/>
        <v>11660.000000000002</v>
      </c>
      <c r="G26" s="15">
        <v>753</v>
      </c>
      <c r="H26" s="16" t="s">
        <v>105</v>
      </c>
      <c r="I26" s="39">
        <v>30000</v>
      </c>
      <c r="J26" s="39">
        <f>J25*1.4</f>
        <v>28000</v>
      </c>
      <c r="K26" s="65">
        <f t="shared" si="1"/>
        <v>29680</v>
      </c>
      <c r="M26" s="119">
        <v>290</v>
      </c>
      <c r="N26" s="120" t="s">
        <v>106</v>
      </c>
      <c r="O26" s="121">
        <f>O23*1.2</f>
        <v>25200</v>
      </c>
      <c r="P26" s="115">
        <v>7200</v>
      </c>
      <c r="Q26" s="81">
        <f t="shared" si="2"/>
        <v>8280</v>
      </c>
      <c r="S26" s="29"/>
      <c r="T26" s="184" t="s">
        <v>107</v>
      </c>
      <c r="U26" s="194">
        <f>C34</f>
        <v>45000</v>
      </c>
      <c r="V26" s="107"/>
    </row>
    <row r="27" spans="1:22">
      <c r="A27" s="170">
        <v>338</v>
      </c>
      <c r="B27" s="178" t="s">
        <v>108</v>
      </c>
      <c r="C27" s="171">
        <v>46000</v>
      </c>
      <c r="D27" s="105">
        <v>11600</v>
      </c>
      <c r="E27" s="82">
        <f t="shared" si="0"/>
        <v>12760.000000000002</v>
      </c>
      <c r="G27" s="15">
        <v>782</v>
      </c>
      <c r="H27" s="16" t="s">
        <v>109</v>
      </c>
      <c r="I27" s="39">
        <f>I26*1.4</f>
        <v>42000</v>
      </c>
      <c r="J27" s="39">
        <f>J25*1.7</f>
        <v>34000</v>
      </c>
      <c r="K27" s="65">
        <f t="shared" si="1"/>
        <v>36040</v>
      </c>
      <c r="M27" s="119">
        <v>291</v>
      </c>
      <c r="N27" s="120" t="s">
        <v>110</v>
      </c>
      <c r="O27" s="121">
        <f>O26+O10</f>
        <v>30200</v>
      </c>
      <c r="P27" s="115">
        <f>P26+P12</f>
        <v>10200</v>
      </c>
      <c r="Q27" s="81">
        <f t="shared" si="2"/>
        <v>11730</v>
      </c>
      <c r="S27" s="29"/>
      <c r="T27" s="153" t="s">
        <v>111</v>
      </c>
      <c r="U27" s="190">
        <f>C53</f>
        <v>88199.999999999985</v>
      </c>
      <c r="V27" s="107"/>
    </row>
    <row r="28" spans="1:22">
      <c r="A28" s="168">
        <v>154</v>
      </c>
      <c r="B28" s="179" t="s">
        <v>112</v>
      </c>
      <c r="C28" s="169">
        <v>56500</v>
      </c>
      <c r="D28" s="105">
        <v>11600</v>
      </c>
      <c r="E28" s="82">
        <f t="shared" si="0"/>
        <v>12760.000000000002</v>
      </c>
      <c r="G28" s="9">
        <v>783</v>
      </c>
      <c r="H28" s="16" t="s">
        <v>113</v>
      </c>
      <c r="I28" s="39">
        <f>I26*1.7</f>
        <v>51000</v>
      </c>
      <c r="J28" s="39">
        <f>J25*2</f>
        <v>40000</v>
      </c>
      <c r="K28" s="65">
        <f t="shared" si="1"/>
        <v>42400</v>
      </c>
      <c r="M28" s="119">
        <v>292</v>
      </c>
      <c r="N28" s="120" t="s">
        <v>114</v>
      </c>
      <c r="O28" s="121">
        <f>O26+O11</f>
        <v>33200</v>
      </c>
      <c r="P28" s="115">
        <f>P26+P13</f>
        <v>12700</v>
      </c>
      <c r="Q28" s="81">
        <f t="shared" si="2"/>
        <v>14604.999999999998</v>
      </c>
      <c r="T28" t="s">
        <v>115</v>
      </c>
      <c r="U28" s="191">
        <f>I8</f>
        <v>104000</v>
      </c>
      <c r="V28" s="107"/>
    </row>
    <row r="29" spans="1:22">
      <c r="A29" s="172">
        <v>334</v>
      </c>
      <c r="B29" s="180" t="s">
        <v>116</v>
      </c>
      <c r="C29" s="173">
        <v>30000</v>
      </c>
      <c r="D29" s="105">
        <v>14800</v>
      </c>
      <c r="E29" s="82">
        <f t="shared" si="0"/>
        <v>16280.000000000002</v>
      </c>
      <c r="G29" s="9">
        <v>781</v>
      </c>
      <c r="H29" s="10" t="s">
        <v>117</v>
      </c>
      <c r="I29" s="39">
        <f>I26*2</f>
        <v>60000</v>
      </c>
      <c r="J29" s="62">
        <v>15000</v>
      </c>
      <c r="K29" s="65">
        <f t="shared" si="1"/>
        <v>15900</v>
      </c>
      <c r="M29" s="24">
        <v>594</v>
      </c>
      <c r="N29" s="25" t="s">
        <v>118</v>
      </c>
      <c r="O29" s="77">
        <f>O26*1.2</f>
        <v>30240</v>
      </c>
      <c r="P29" s="121">
        <v>8500</v>
      </c>
      <c r="Q29" s="81">
        <f t="shared" si="2"/>
        <v>9775</v>
      </c>
      <c r="T29" s="189" t="s">
        <v>119</v>
      </c>
      <c r="U29" s="195">
        <f>I26</f>
        <v>30000</v>
      </c>
      <c r="V29" s="107"/>
    </row>
    <row r="30" spans="1:22">
      <c r="A30" s="102">
        <v>311</v>
      </c>
      <c r="B30" s="103" t="s">
        <v>120</v>
      </c>
      <c r="C30" s="104">
        <v>45000</v>
      </c>
      <c r="D30" s="105">
        <v>14800</v>
      </c>
      <c r="E30" s="82">
        <f t="shared" si="0"/>
        <v>16280.000000000002</v>
      </c>
      <c r="G30" s="17">
        <v>327</v>
      </c>
      <c r="H30" s="18" t="s">
        <v>121</v>
      </c>
      <c r="I30" s="62">
        <v>16000</v>
      </c>
      <c r="J30" s="62">
        <v>19900</v>
      </c>
      <c r="K30" s="65">
        <f t="shared" si="1"/>
        <v>21094</v>
      </c>
      <c r="M30" s="24">
        <v>595</v>
      </c>
      <c r="N30" s="25" t="s">
        <v>122</v>
      </c>
      <c r="O30" s="77">
        <f>O29+O10</f>
        <v>35240</v>
      </c>
      <c r="P30" s="121">
        <f>P29+P12</f>
        <v>11500</v>
      </c>
      <c r="Q30" s="81">
        <f t="shared" si="2"/>
        <v>13224.999999999998</v>
      </c>
      <c r="T30" s="189" t="s">
        <v>123</v>
      </c>
      <c r="U30" s="195">
        <f>I27</f>
        <v>42000</v>
      </c>
      <c r="V30" s="107"/>
    </row>
    <row r="31" spans="1:22">
      <c r="A31" s="102">
        <v>312</v>
      </c>
      <c r="B31" s="103" t="s">
        <v>124</v>
      </c>
      <c r="C31" s="104">
        <v>60000</v>
      </c>
      <c r="D31" s="104">
        <v>17000</v>
      </c>
      <c r="E31" s="82">
        <f t="shared" si="0"/>
        <v>18700</v>
      </c>
      <c r="G31" s="17">
        <v>482</v>
      </c>
      <c r="H31" s="18" t="s">
        <v>125</v>
      </c>
      <c r="I31" s="62">
        <f>I26</f>
        <v>30000</v>
      </c>
      <c r="J31" s="62">
        <v>27900</v>
      </c>
      <c r="K31" s="65">
        <f t="shared" si="1"/>
        <v>29574</v>
      </c>
      <c r="M31" s="24">
        <v>596</v>
      </c>
      <c r="N31" s="25" t="s">
        <v>126</v>
      </c>
      <c r="O31" s="77">
        <f>O29+O11</f>
        <v>38240</v>
      </c>
      <c r="P31" s="121">
        <f>P29+P13</f>
        <v>14000</v>
      </c>
      <c r="Q31" s="81">
        <f t="shared" si="2"/>
        <v>16099.999999999998</v>
      </c>
      <c r="T31" s="189" t="s">
        <v>127</v>
      </c>
      <c r="U31" s="195">
        <f>I28</f>
        <v>51000</v>
      </c>
      <c r="V31" s="107"/>
    </row>
    <row r="32" spans="1:22">
      <c r="A32" s="102">
        <v>886</v>
      </c>
      <c r="B32" s="103" t="s">
        <v>128</v>
      </c>
      <c r="C32" s="104">
        <v>70000</v>
      </c>
      <c r="D32" s="104">
        <v>21000</v>
      </c>
      <c r="E32" s="82">
        <f t="shared" si="0"/>
        <v>23100.000000000004</v>
      </c>
      <c r="G32" s="17">
        <v>486</v>
      </c>
      <c r="H32" s="18" t="s">
        <v>129</v>
      </c>
      <c r="I32" s="62">
        <f>I31*1.4</f>
        <v>42000</v>
      </c>
      <c r="J32" s="62">
        <v>32900</v>
      </c>
      <c r="K32" s="65">
        <f t="shared" si="1"/>
        <v>34874</v>
      </c>
      <c r="M32" s="19">
        <v>597</v>
      </c>
      <c r="N32" s="20" t="s">
        <v>130</v>
      </c>
      <c r="O32" s="38">
        <f>O23*2.1</f>
        <v>44100</v>
      </c>
      <c r="P32" s="77">
        <v>10100</v>
      </c>
      <c r="Q32" s="81">
        <f t="shared" si="2"/>
        <v>11615</v>
      </c>
      <c r="T32" s="189" t="s">
        <v>131</v>
      </c>
      <c r="U32" s="195">
        <f>I29</f>
        <v>60000</v>
      </c>
      <c r="V32" s="107"/>
    </row>
    <row r="33" spans="1:23" ht="15" customHeight="1">
      <c r="A33" s="22">
        <v>540</v>
      </c>
      <c r="B33" s="23" t="s">
        <v>132</v>
      </c>
      <c r="C33" s="41">
        <v>35000</v>
      </c>
      <c r="D33" s="104">
        <v>35000</v>
      </c>
      <c r="E33" s="82">
        <f t="shared" si="0"/>
        <v>38500</v>
      </c>
      <c r="G33" s="17">
        <v>834</v>
      </c>
      <c r="H33" s="18" t="s">
        <v>133</v>
      </c>
      <c r="I33" s="62">
        <f>I31*1.7</f>
        <v>51000</v>
      </c>
      <c r="J33" s="62">
        <v>39900</v>
      </c>
      <c r="K33" s="65">
        <f t="shared" si="1"/>
        <v>42294</v>
      </c>
      <c r="M33" s="17">
        <v>843</v>
      </c>
      <c r="N33" s="18" t="s">
        <v>134</v>
      </c>
      <c r="O33" s="62">
        <v>6000</v>
      </c>
      <c r="P33" s="77">
        <f>P32+P12</f>
        <v>13100</v>
      </c>
      <c r="Q33" s="81">
        <f t="shared" si="2"/>
        <v>15064.999999999998</v>
      </c>
      <c r="S33" s="32"/>
      <c r="T33" s="181" t="s">
        <v>135</v>
      </c>
      <c r="U33" s="196">
        <f>O1</f>
        <v>15000</v>
      </c>
      <c r="V33" s="107"/>
    </row>
    <row r="34" spans="1:23" ht="15" customHeight="1">
      <c r="A34" s="22">
        <v>936</v>
      </c>
      <c r="B34" s="23" t="s">
        <v>136</v>
      </c>
      <c r="C34" s="41">
        <v>45000</v>
      </c>
      <c r="D34" s="41">
        <v>14400</v>
      </c>
      <c r="E34" s="82">
        <f t="shared" si="0"/>
        <v>15840.000000000002</v>
      </c>
      <c r="G34" s="17">
        <v>835</v>
      </c>
      <c r="H34" s="18" t="s">
        <v>137</v>
      </c>
      <c r="I34" s="62">
        <f>I31*2</f>
        <v>60000</v>
      </c>
      <c r="J34" s="37">
        <v>20900</v>
      </c>
      <c r="K34" s="65">
        <f t="shared" si="1"/>
        <v>22154</v>
      </c>
      <c r="M34" s="17">
        <v>67</v>
      </c>
      <c r="N34" s="18" t="s">
        <v>138</v>
      </c>
      <c r="O34" s="62">
        <v>6000</v>
      </c>
      <c r="P34" s="77">
        <f>P32+P13</f>
        <v>15600</v>
      </c>
      <c r="Q34" s="81">
        <f t="shared" si="2"/>
        <v>17940</v>
      </c>
      <c r="T34" s="181" t="s">
        <v>139</v>
      </c>
      <c r="U34" s="196">
        <f>O2</f>
        <v>20000</v>
      </c>
      <c r="V34" s="107"/>
    </row>
    <row r="35" spans="1:23" ht="15" customHeight="1">
      <c r="A35" s="141">
        <v>9</v>
      </c>
      <c r="B35" s="142" t="s">
        <v>140</v>
      </c>
      <c r="C35" s="143">
        <v>30000</v>
      </c>
      <c r="D35" s="143">
        <v>14800</v>
      </c>
      <c r="E35" s="82">
        <f t="shared" si="0"/>
        <v>16280.000000000002</v>
      </c>
      <c r="G35" s="11">
        <v>364</v>
      </c>
      <c r="H35" s="12" t="s">
        <v>141</v>
      </c>
      <c r="I35" s="37">
        <v>40000</v>
      </c>
      <c r="J35" s="37">
        <v>35900</v>
      </c>
      <c r="K35" s="65">
        <f t="shared" si="1"/>
        <v>38054</v>
      </c>
      <c r="M35" s="17">
        <v>844</v>
      </c>
      <c r="N35" s="18" t="s">
        <v>142</v>
      </c>
      <c r="O35" s="62">
        <v>6000</v>
      </c>
      <c r="P35" s="38">
        <v>16000</v>
      </c>
      <c r="Q35" s="81">
        <f t="shared" si="2"/>
        <v>18400</v>
      </c>
      <c r="T35" s="181" t="s">
        <v>143</v>
      </c>
      <c r="U35" s="196">
        <f>O4</f>
        <v>33000</v>
      </c>
      <c r="V35" s="107"/>
    </row>
    <row r="36" spans="1:23" ht="15" customHeight="1">
      <c r="A36" s="141">
        <v>19</v>
      </c>
      <c r="B36" s="142" t="s">
        <v>144</v>
      </c>
      <c r="C36" s="143">
        <v>45000</v>
      </c>
      <c r="D36" s="143">
        <v>21900</v>
      </c>
      <c r="E36" s="82">
        <f t="shared" si="0"/>
        <v>24090.000000000004</v>
      </c>
      <c r="G36" s="11">
        <v>365</v>
      </c>
      <c r="H36" s="12" t="s">
        <v>145</v>
      </c>
      <c r="I36" s="37">
        <f>$I$35*1.7</f>
        <v>68000</v>
      </c>
      <c r="J36" s="37">
        <v>41900</v>
      </c>
      <c r="K36" s="65">
        <f t="shared" si="1"/>
        <v>44414</v>
      </c>
      <c r="M36" s="17">
        <v>136</v>
      </c>
      <c r="N36" s="18" t="s">
        <v>146</v>
      </c>
      <c r="O36" s="62">
        <v>6000</v>
      </c>
      <c r="P36" s="62">
        <v>2000</v>
      </c>
      <c r="Q36" s="81">
        <f t="shared" si="2"/>
        <v>2300</v>
      </c>
      <c r="T36" s="181" t="s">
        <v>147</v>
      </c>
      <c r="U36" s="196">
        <f>O7</f>
        <v>43000</v>
      </c>
      <c r="V36" s="107"/>
    </row>
    <row r="37" spans="1:23" ht="16.5" customHeight="1">
      <c r="A37" s="141">
        <v>20</v>
      </c>
      <c r="B37" s="142" t="s">
        <v>148</v>
      </c>
      <c r="C37" s="143">
        <f>C36*1.5</f>
        <v>67500</v>
      </c>
      <c r="D37" s="143">
        <v>34300</v>
      </c>
      <c r="E37" s="82">
        <f t="shared" si="0"/>
        <v>37730</v>
      </c>
      <c r="G37" s="11">
        <v>366</v>
      </c>
      <c r="H37" s="12" t="s">
        <v>149</v>
      </c>
      <c r="I37" s="37">
        <f>$I$35*2</f>
        <v>80000</v>
      </c>
      <c r="J37" s="39">
        <v>19900</v>
      </c>
      <c r="K37" s="65">
        <f t="shared" si="1"/>
        <v>21094</v>
      </c>
      <c r="M37" s="17">
        <v>891</v>
      </c>
      <c r="N37" s="18" t="s">
        <v>150</v>
      </c>
      <c r="O37" s="62">
        <v>6000</v>
      </c>
      <c r="P37" s="62">
        <v>2000</v>
      </c>
      <c r="Q37" s="81">
        <f t="shared" si="2"/>
        <v>2300</v>
      </c>
      <c r="T37" s="181" t="s">
        <v>151</v>
      </c>
      <c r="U37" s="196">
        <f>O23</f>
        <v>21000</v>
      </c>
      <c r="V37" s="107"/>
    </row>
    <row r="38" spans="1:23" ht="15.75" customHeight="1">
      <c r="A38" s="144">
        <v>39</v>
      </c>
      <c r="B38" s="145" t="s">
        <v>152</v>
      </c>
      <c r="C38" s="146">
        <f>C36*1.8</f>
        <v>81000</v>
      </c>
      <c r="D38" s="146">
        <v>39300</v>
      </c>
      <c r="E38" s="82">
        <f t="shared" si="0"/>
        <v>43230</v>
      </c>
      <c r="G38" s="1">
        <v>490</v>
      </c>
      <c r="H38" s="2" t="s">
        <v>153</v>
      </c>
      <c r="I38" s="39">
        <v>22000</v>
      </c>
      <c r="J38" s="39">
        <v>9900</v>
      </c>
      <c r="K38" s="65">
        <f t="shared" si="1"/>
        <v>10494</v>
      </c>
      <c r="M38" s="17">
        <v>845</v>
      </c>
      <c r="N38" s="18" t="s">
        <v>154</v>
      </c>
      <c r="O38" s="62">
        <v>6000</v>
      </c>
      <c r="P38" s="62">
        <v>2000</v>
      </c>
      <c r="Q38" s="81">
        <f t="shared" si="2"/>
        <v>2300</v>
      </c>
      <c r="T38" s="181" t="s">
        <v>155</v>
      </c>
      <c r="U38" s="196">
        <f>O24</f>
        <v>26000</v>
      </c>
      <c r="V38" s="107"/>
    </row>
    <row r="39" spans="1:23">
      <c r="A39" s="132">
        <v>175</v>
      </c>
      <c r="B39" s="133" t="s">
        <v>156</v>
      </c>
      <c r="C39" s="134">
        <v>38000</v>
      </c>
      <c r="D39" s="134">
        <v>23900</v>
      </c>
      <c r="E39" s="82">
        <f t="shared" si="0"/>
        <v>26290.000000000004</v>
      </c>
      <c r="G39" s="1">
        <v>368</v>
      </c>
      <c r="H39" s="2" t="s">
        <v>157</v>
      </c>
      <c r="I39" s="39">
        <v>11000</v>
      </c>
      <c r="J39" s="39">
        <v>27900</v>
      </c>
      <c r="K39" s="65">
        <f t="shared" si="1"/>
        <v>29574</v>
      </c>
      <c r="M39" s="17">
        <v>854</v>
      </c>
      <c r="N39" s="18" t="s">
        <v>158</v>
      </c>
      <c r="O39" s="62">
        <v>6000</v>
      </c>
      <c r="P39" s="62">
        <v>2000</v>
      </c>
      <c r="Q39" s="81">
        <f t="shared" si="2"/>
        <v>2300</v>
      </c>
      <c r="T39" s="181" t="s">
        <v>159</v>
      </c>
      <c r="U39" s="196">
        <f>O26</f>
        <v>25200</v>
      </c>
      <c r="V39" s="107"/>
    </row>
    <row r="40" spans="1:23">
      <c r="A40" s="132">
        <v>507</v>
      </c>
      <c r="B40" s="133" t="s">
        <v>160</v>
      </c>
      <c r="C40" s="134">
        <v>60000</v>
      </c>
      <c r="D40" s="134">
        <v>33900</v>
      </c>
      <c r="E40" s="82">
        <f t="shared" si="0"/>
        <v>37290</v>
      </c>
      <c r="G40" s="1">
        <v>369</v>
      </c>
      <c r="H40" s="2" t="s">
        <v>161</v>
      </c>
      <c r="I40" s="39">
        <v>41000</v>
      </c>
      <c r="J40" s="39">
        <v>34900</v>
      </c>
      <c r="K40" s="65">
        <f t="shared" si="1"/>
        <v>36994</v>
      </c>
      <c r="M40" s="17">
        <v>841</v>
      </c>
      <c r="N40" s="18" t="s">
        <v>162</v>
      </c>
      <c r="O40" s="62">
        <v>6000</v>
      </c>
      <c r="P40" s="62">
        <v>2000</v>
      </c>
      <c r="Q40" s="81">
        <f t="shared" si="2"/>
        <v>2300</v>
      </c>
      <c r="T40" s="181" t="s">
        <v>163</v>
      </c>
      <c r="U40" s="196">
        <f>O29</f>
        <v>30240</v>
      </c>
      <c r="V40" s="107"/>
    </row>
    <row r="41" spans="1:23" ht="16.5" customHeight="1">
      <c r="A41" s="132">
        <v>742</v>
      </c>
      <c r="B41" s="133" t="s">
        <v>164</v>
      </c>
      <c r="C41" s="134">
        <f>C40*1.5</f>
        <v>90000</v>
      </c>
      <c r="D41" s="134">
        <v>48900</v>
      </c>
      <c r="E41" s="82">
        <f t="shared" si="0"/>
        <v>53790.000000000007</v>
      </c>
      <c r="G41" s="1">
        <v>370</v>
      </c>
      <c r="H41" s="2" t="s">
        <v>165</v>
      </c>
      <c r="I41" s="39">
        <f>$I$40*1.4</f>
        <v>57399.999999999993</v>
      </c>
      <c r="J41" s="39">
        <v>40900</v>
      </c>
      <c r="K41" s="65">
        <f t="shared" si="1"/>
        <v>43354</v>
      </c>
      <c r="M41" s="17">
        <v>89</v>
      </c>
      <c r="N41" s="18" t="s">
        <v>166</v>
      </c>
      <c r="O41" s="62">
        <v>6000</v>
      </c>
      <c r="P41" s="62">
        <v>2000</v>
      </c>
      <c r="Q41" s="81">
        <f t="shared" si="2"/>
        <v>2300</v>
      </c>
      <c r="T41" s="182" t="s">
        <v>167</v>
      </c>
      <c r="U41" s="196">
        <f>O32</f>
        <v>44100</v>
      </c>
      <c r="V41" s="107"/>
    </row>
    <row r="42" spans="1:23" ht="18" customHeight="1">
      <c r="A42" s="135">
        <v>40</v>
      </c>
      <c r="B42" s="136" t="s">
        <v>168</v>
      </c>
      <c r="C42" s="134">
        <f>C40*1.7</f>
        <v>102000</v>
      </c>
      <c r="D42" s="137">
        <v>49200</v>
      </c>
      <c r="E42" s="82">
        <f t="shared" si="0"/>
        <v>54120.000000000007</v>
      </c>
      <c r="G42" s="1">
        <v>371</v>
      </c>
      <c r="H42" s="2" t="s">
        <v>169</v>
      </c>
      <c r="I42" s="39">
        <f>$I$40*1.9</f>
        <v>77900</v>
      </c>
      <c r="J42" s="39">
        <v>46900</v>
      </c>
      <c r="K42" s="65">
        <f t="shared" si="1"/>
        <v>49714</v>
      </c>
      <c r="M42" s="17">
        <v>863</v>
      </c>
      <c r="N42" s="18" t="s">
        <v>170</v>
      </c>
      <c r="O42" s="62">
        <v>6000</v>
      </c>
      <c r="P42" s="62">
        <v>2000</v>
      </c>
      <c r="Q42" s="81">
        <f t="shared" si="2"/>
        <v>2300</v>
      </c>
      <c r="S42" s="42"/>
      <c r="T42" s="181" t="s">
        <v>171</v>
      </c>
      <c r="U42" s="196">
        <f>O14</f>
        <v>6000</v>
      </c>
      <c r="V42" s="156"/>
    </row>
    <row r="43" spans="1:23" ht="18" customHeight="1">
      <c r="A43" s="138">
        <v>22</v>
      </c>
      <c r="B43" s="139" t="s">
        <v>172</v>
      </c>
      <c r="C43" s="140">
        <v>46000</v>
      </c>
      <c r="D43" s="140">
        <v>32900</v>
      </c>
      <c r="E43" s="82">
        <f t="shared" si="0"/>
        <v>36190</v>
      </c>
      <c r="G43" s="1">
        <v>372</v>
      </c>
      <c r="H43" s="2" t="s">
        <v>173</v>
      </c>
      <c r="I43" s="39">
        <f>$I$40*2.5</f>
        <v>102500</v>
      </c>
      <c r="J43" s="150"/>
      <c r="K43" s="150"/>
      <c r="M43" s="17">
        <v>49</v>
      </c>
      <c r="N43" s="18" t="s">
        <v>174</v>
      </c>
      <c r="O43" s="62">
        <v>6000</v>
      </c>
      <c r="P43" s="62">
        <v>2000</v>
      </c>
      <c r="Q43" s="81">
        <f t="shared" si="2"/>
        <v>2300</v>
      </c>
      <c r="T43" s="181" t="s">
        <v>175</v>
      </c>
      <c r="U43" s="196">
        <f>O15</f>
        <v>11000</v>
      </c>
      <c r="V43" s="156"/>
    </row>
    <row r="44" spans="1:23" ht="18" customHeight="1">
      <c r="A44" s="138">
        <v>37</v>
      </c>
      <c r="B44" s="139" t="s">
        <v>176</v>
      </c>
      <c r="C44" s="140">
        <v>48000</v>
      </c>
      <c r="D44" s="140">
        <v>33000</v>
      </c>
      <c r="E44" s="82">
        <f t="shared" si="0"/>
        <v>36300</v>
      </c>
      <c r="G44" s="157">
        <v>840</v>
      </c>
      <c r="H44" s="158" t="s">
        <v>177</v>
      </c>
      <c r="I44" s="159">
        <f>I20</f>
        <v>14000</v>
      </c>
      <c r="J44" s="150"/>
      <c r="K44" s="150"/>
      <c r="M44" s="17">
        <v>51</v>
      </c>
      <c r="N44" s="18" t="s">
        <v>178</v>
      </c>
      <c r="O44" s="62">
        <v>6000</v>
      </c>
      <c r="P44" s="62">
        <v>2000</v>
      </c>
      <c r="Q44" s="81">
        <f t="shared" si="2"/>
        <v>2300</v>
      </c>
      <c r="T44" s="188" t="s">
        <v>179</v>
      </c>
      <c r="U44" s="197">
        <f>O46</f>
        <v>70000</v>
      </c>
      <c r="V44" s="156"/>
      <c r="W44" t="s">
        <v>180</v>
      </c>
    </row>
    <row r="45" spans="1:23" ht="18" customHeight="1">
      <c r="A45" s="138">
        <v>18</v>
      </c>
      <c r="B45" s="139" t="s">
        <v>181</v>
      </c>
      <c r="C45" s="140">
        <v>49000</v>
      </c>
      <c r="D45" s="140">
        <v>33000</v>
      </c>
      <c r="E45" s="82">
        <f t="shared" si="0"/>
        <v>36300</v>
      </c>
      <c r="G45" s="157">
        <v>841</v>
      </c>
      <c r="H45" s="158" t="s">
        <v>182</v>
      </c>
      <c r="I45" s="159">
        <f>I21</f>
        <v>49000</v>
      </c>
      <c r="J45" s="150"/>
      <c r="K45" s="150"/>
      <c r="M45" s="17">
        <v>196</v>
      </c>
      <c r="N45" s="18" t="s">
        <v>183</v>
      </c>
      <c r="O45" s="62">
        <v>10000</v>
      </c>
      <c r="P45" s="62">
        <v>2000</v>
      </c>
      <c r="Q45" s="81">
        <f t="shared" si="2"/>
        <v>2300</v>
      </c>
      <c r="U45" s="191"/>
      <c r="V45" s="156"/>
    </row>
    <row r="46" spans="1:23" ht="17.25" customHeight="1">
      <c r="A46" s="138">
        <v>19</v>
      </c>
      <c r="B46" s="139" t="s">
        <v>184</v>
      </c>
      <c r="C46" s="140">
        <f>C45*1.5</f>
        <v>73500</v>
      </c>
      <c r="D46" s="80">
        <v>24000</v>
      </c>
      <c r="E46" s="82">
        <f t="shared" si="0"/>
        <v>26400.000000000004</v>
      </c>
      <c r="G46" s="157">
        <v>842</v>
      </c>
      <c r="H46" s="158" t="s">
        <v>185</v>
      </c>
      <c r="I46" s="159">
        <f>$I$21*1.3</f>
        <v>63700</v>
      </c>
      <c r="J46" s="150"/>
      <c r="K46" s="150"/>
      <c r="M46" s="90">
        <v>259</v>
      </c>
      <c r="N46" s="91" t="s">
        <v>186</v>
      </c>
      <c r="O46" s="92">
        <v>70000</v>
      </c>
      <c r="P46" s="62">
        <v>2000</v>
      </c>
      <c r="Q46" s="81">
        <f t="shared" si="2"/>
        <v>2300</v>
      </c>
      <c r="T46" s="200" t="s">
        <v>187</v>
      </c>
      <c r="U46" s="200"/>
      <c r="V46" s="156"/>
    </row>
    <row r="47" spans="1:23">
      <c r="A47" s="138">
        <v>20</v>
      </c>
      <c r="B47" s="139" t="s">
        <v>188</v>
      </c>
      <c r="C47" s="140">
        <f>C45*1.7</f>
        <v>83300</v>
      </c>
      <c r="D47" s="80">
        <v>29900</v>
      </c>
      <c r="E47" s="82">
        <f t="shared" si="0"/>
        <v>32890</v>
      </c>
      <c r="G47" s="157">
        <v>843</v>
      </c>
      <c r="H47" s="158" t="s">
        <v>189</v>
      </c>
      <c r="I47" s="159">
        <f>$I$21*1.5</f>
        <v>73500</v>
      </c>
      <c r="J47" s="150"/>
      <c r="K47" s="150"/>
      <c r="M47" s="96">
        <v>197</v>
      </c>
      <c r="N47" s="97" t="s">
        <v>190</v>
      </c>
      <c r="O47" s="98">
        <v>10000</v>
      </c>
      <c r="P47" s="62">
        <v>2000</v>
      </c>
      <c r="Q47" s="81">
        <f t="shared" si="2"/>
        <v>2300</v>
      </c>
      <c r="T47" s="200"/>
      <c r="U47" s="200"/>
    </row>
    <row r="48" spans="1:23" s="48" customFormat="1" ht="15" customHeight="1">
      <c r="A48" s="78">
        <v>281</v>
      </c>
      <c r="B48" s="79" t="s">
        <v>191</v>
      </c>
      <c r="C48" s="80">
        <v>33000</v>
      </c>
      <c r="D48" s="41">
        <v>25200</v>
      </c>
      <c r="E48" s="82">
        <f t="shared" si="0"/>
        <v>27720.000000000004</v>
      </c>
      <c r="G48" s="157">
        <v>844</v>
      </c>
      <c r="H48" s="158" t="s">
        <v>192</v>
      </c>
      <c r="I48" s="159">
        <f>$I$21*1.9</f>
        <v>93100</v>
      </c>
      <c r="J48" s="150"/>
      <c r="K48" s="150"/>
      <c r="M48" s="96">
        <v>877</v>
      </c>
      <c r="N48" s="97" t="s">
        <v>193</v>
      </c>
      <c r="O48" s="98">
        <v>24000</v>
      </c>
      <c r="P48" s="62">
        <v>3500</v>
      </c>
      <c r="Q48" s="81">
        <f t="shared" si="2"/>
        <v>4024.9999999999995</v>
      </c>
      <c r="T48" s="200"/>
      <c r="U48" s="200"/>
    </row>
    <row r="49" spans="1:22" s="48" customFormat="1" ht="15" customHeight="1">
      <c r="A49" s="78">
        <v>26</v>
      </c>
      <c r="B49" s="79" t="s">
        <v>194</v>
      </c>
      <c r="C49" s="80">
        <v>47000</v>
      </c>
      <c r="D49" s="149">
        <v>19300</v>
      </c>
      <c r="E49" s="82">
        <f t="shared" si="0"/>
        <v>21230</v>
      </c>
      <c r="G49" s="56"/>
      <c r="H49" s="56"/>
      <c r="I49" s="57"/>
      <c r="J49" s="57"/>
      <c r="K49" s="57"/>
      <c r="M49" s="28">
        <v>301</v>
      </c>
      <c r="N49" s="58" t="s">
        <v>195</v>
      </c>
      <c r="O49" s="104">
        <v>6000</v>
      </c>
      <c r="P49" s="63"/>
      <c r="Q49" s="81">
        <f t="shared" si="2"/>
        <v>0</v>
      </c>
      <c r="T49" s="200"/>
      <c r="U49" s="200"/>
    </row>
    <row r="50" spans="1:22" s="48" customFormat="1" ht="15" customHeight="1">
      <c r="A50" s="22">
        <v>29</v>
      </c>
      <c r="B50" s="23" t="s">
        <v>196</v>
      </c>
      <c r="C50" s="41">
        <v>39000</v>
      </c>
      <c r="D50" s="149">
        <v>31600</v>
      </c>
      <c r="E50" s="82">
        <f t="shared" si="0"/>
        <v>34760</v>
      </c>
      <c r="G50" s="56"/>
      <c r="H50" s="56"/>
      <c r="I50" s="57"/>
      <c r="J50" s="57"/>
      <c r="K50" s="57"/>
      <c r="M50" s="49">
        <v>299</v>
      </c>
      <c r="N50" s="59" t="s">
        <v>197</v>
      </c>
      <c r="O50" s="110">
        <v>9000</v>
      </c>
      <c r="P50" s="92">
        <v>28000</v>
      </c>
      <c r="Q50" s="81">
        <f t="shared" si="2"/>
        <v>32199.999999999996</v>
      </c>
      <c r="T50" s="200"/>
      <c r="U50" s="200"/>
    </row>
    <row r="51" spans="1:22" s="85" customFormat="1" ht="17.100000000000001" customHeight="1">
      <c r="A51" s="147">
        <v>10</v>
      </c>
      <c r="B51" s="148" t="s">
        <v>198</v>
      </c>
      <c r="C51" s="149">
        <f>C52*0.7</f>
        <v>44099.999999999993</v>
      </c>
      <c r="D51" s="149">
        <v>42700</v>
      </c>
      <c r="E51" s="82">
        <f t="shared" si="0"/>
        <v>46970.000000000007</v>
      </c>
      <c r="F51" s="84"/>
      <c r="G51" s="84"/>
      <c r="H51" s="84"/>
      <c r="I51" s="84"/>
      <c r="J51" s="84"/>
      <c r="K51" s="84"/>
      <c r="L51" s="84"/>
      <c r="M51" s="49">
        <v>306</v>
      </c>
      <c r="N51" s="59" t="s">
        <v>199</v>
      </c>
      <c r="O51" s="111">
        <v>5000</v>
      </c>
      <c r="P51" s="98">
        <v>8500</v>
      </c>
      <c r="Q51" s="81">
        <f t="shared" si="2"/>
        <v>9775</v>
      </c>
      <c r="R51" s="86"/>
      <c r="U51" s="30"/>
    </row>
    <row r="52" spans="1:22" s="85" customFormat="1" ht="17.100000000000001" customHeight="1">
      <c r="A52" s="147">
        <v>25</v>
      </c>
      <c r="B52" s="148" t="s">
        <v>200</v>
      </c>
      <c r="C52" s="149">
        <f>C36*1.4</f>
        <v>62999.999999999993</v>
      </c>
      <c r="D52" s="149">
        <v>47500</v>
      </c>
      <c r="E52" s="82">
        <f t="shared" si="0"/>
        <v>52250.000000000007</v>
      </c>
      <c r="F52" s="84"/>
      <c r="G52" s="84"/>
      <c r="H52" s="84"/>
      <c r="I52" s="84"/>
      <c r="J52" s="84"/>
      <c r="K52" s="84"/>
      <c r="L52" s="84"/>
      <c r="P52" s="98">
        <v>21000</v>
      </c>
      <c r="Q52" s="81">
        <f t="shared" si="2"/>
        <v>24149.999999999996</v>
      </c>
      <c r="U52" s="30"/>
    </row>
    <row r="53" spans="1:22" s="85" customFormat="1" ht="15" customHeight="1">
      <c r="A53" s="147">
        <v>96</v>
      </c>
      <c r="B53" s="148" t="s">
        <v>201</v>
      </c>
      <c r="C53" s="149">
        <f>C52*1.4</f>
        <v>88199.999999999985</v>
      </c>
      <c r="D53" s="47">
        <v>10900</v>
      </c>
      <c r="E53" s="82">
        <f t="shared" si="0"/>
        <v>11990.000000000002</v>
      </c>
      <c r="F53" s="84"/>
      <c r="G53" s="84"/>
      <c r="H53" s="84"/>
      <c r="I53" s="84"/>
      <c r="J53" s="84"/>
      <c r="K53" s="84"/>
      <c r="L53" s="84"/>
      <c r="P53" s="77">
        <v>8200</v>
      </c>
      <c r="Q53" s="81">
        <f t="shared" si="2"/>
        <v>9430</v>
      </c>
      <c r="U53" s="30"/>
    </row>
    <row r="54" spans="1:22">
      <c r="A54" s="147">
        <v>97</v>
      </c>
      <c r="B54" s="148" t="s">
        <v>202</v>
      </c>
      <c r="C54" s="149">
        <f>C52*1.6</f>
        <v>100800</v>
      </c>
      <c r="D54" s="47">
        <v>14550</v>
      </c>
      <c r="E54" s="82">
        <f t="shared" si="0"/>
        <v>16005.000000000002</v>
      </c>
      <c r="P54" s="77">
        <v>5500</v>
      </c>
      <c r="Q54" s="81">
        <f t="shared" si="2"/>
        <v>6324.9999999999991</v>
      </c>
    </row>
    <row r="55" spans="1:22">
      <c r="A55" s="147">
        <v>98</v>
      </c>
      <c r="B55" s="148" t="s">
        <v>203</v>
      </c>
      <c r="C55" s="149">
        <f>C52*1.8</f>
        <v>113399.99999999999</v>
      </c>
      <c r="D55" s="52">
        <v>19300</v>
      </c>
      <c r="E55" s="82">
        <f t="shared" si="0"/>
        <v>21230</v>
      </c>
      <c r="P55" s="77">
        <v>8200</v>
      </c>
      <c r="Q55" s="81">
        <f t="shared" si="2"/>
        <v>9430</v>
      </c>
    </row>
    <row r="56" spans="1:22">
      <c r="A56" s="46">
        <v>4</v>
      </c>
      <c r="B56" s="53" t="s">
        <v>204</v>
      </c>
      <c r="C56" s="47">
        <v>20000</v>
      </c>
      <c r="D56" s="52">
        <v>4300</v>
      </c>
      <c r="E56" s="82">
        <f t="shared" si="0"/>
        <v>4730</v>
      </c>
      <c r="P56" s="77">
        <v>5400</v>
      </c>
      <c r="Q56" s="81">
        <f t="shared" si="2"/>
        <v>6209.9999999999991</v>
      </c>
      <c r="S56" s="42"/>
    </row>
    <row r="57" spans="1:22">
      <c r="A57" s="50">
        <v>7</v>
      </c>
      <c r="B57" s="54" t="s">
        <v>205</v>
      </c>
      <c r="C57" s="47">
        <f>C56*1.4</f>
        <v>28000</v>
      </c>
      <c r="D57" s="150">
        <v>26000</v>
      </c>
      <c r="E57" s="151">
        <f t="shared" ref="E1:E62" si="3">D57*1.1</f>
        <v>28600.000000000004</v>
      </c>
      <c r="P57" s="104">
        <v>3200</v>
      </c>
      <c r="Q57" s="81">
        <f t="shared" si="2"/>
        <v>3679.9999999999995</v>
      </c>
      <c r="S57" s="42"/>
    </row>
    <row r="58" spans="1:22">
      <c r="A58" s="51">
        <v>8</v>
      </c>
      <c r="B58" s="55" t="s">
        <v>206</v>
      </c>
      <c r="C58" s="47">
        <f>C57*1.4</f>
        <v>39200</v>
      </c>
      <c r="D58" s="150">
        <v>29000</v>
      </c>
      <c r="E58" s="151">
        <f t="shared" si="3"/>
        <v>31900.000000000004</v>
      </c>
      <c r="P58" s="110">
        <v>4100</v>
      </c>
      <c r="Q58" s="81">
        <f t="shared" si="2"/>
        <v>4715</v>
      </c>
      <c r="S58" s="42"/>
    </row>
    <row r="59" spans="1:22">
      <c r="A59" s="51">
        <v>278</v>
      </c>
      <c r="B59" s="55" t="s">
        <v>207</v>
      </c>
      <c r="C59" s="52">
        <v>18000</v>
      </c>
      <c r="D59" s="57">
        <v>6500</v>
      </c>
      <c r="E59" s="151">
        <f t="shared" si="3"/>
        <v>7150.0000000000009</v>
      </c>
      <c r="P59" s="111">
        <v>1300</v>
      </c>
      <c r="Q59" s="81">
        <f t="shared" si="2"/>
        <v>1494.9999999999998</v>
      </c>
      <c r="S59" s="42"/>
    </row>
    <row r="60" spans="1:22">
      <c r="D60" s="57">
        <v>8800</v>
      </c>
      <c r="E60" s="151">
        <f t="shared" si="3"/>
        <v>9680</v>
      </c>
    </row>
    <row r="61" spans="1:22">
      <c r="D61" s="57">
        <v>11800</v>
      </c>
      <c r="E61" s="151">
        <f t="shared" si="3"/>
        <v>12980.000000000002</v>
      </c>
    </row>
    <row r="62" spans="1:22">
      <c r="D62" s="57">
        <v>2500</v>
      </c>
      <c r="E62" s="151">
        <f t="shared" si="3"/>
        <v>2750</v>
      </c>
      <c r="U62" s="33" t="s">
        <v>208</v>
      </c>
      <c r="V62" s="33" t="s">
        <v>209</v>
      </c>
    </row>
    <row r="63" spans="1:22">
      <c r="T63" s="16" t="s">
        <v>210</v>
      </c>
      <c r="U63" s="39">
        <f>I26</f>
        <v>30000</v>
      </c>
      <c r="V63" s="45">
        <f>U63*0.8</f>
        <v>24000</v>
      </c>
    </row>
    <row r="64" spans="1:22">
      <c r="T64" s="16" t="s">
        <v>211</v>
      </c>
      <c r="U64" s="39">
        <f>I27</f>
        <v>42000</v>
      </c>
      <c r="V64" s="45">
        <f t="shared" ref="V64:V66" si="4">U64*0.8</f>
        <v>33600</v>
      </c>
    </row>
    <row r="65" spans="2:22">
      <c r="B65" s="152"/>
      <c r="T65" s="10" t="s">
        <v>212</v>
      </c>
      <c r="U65" s="39">
        <f>I28</f>
        <v>51000</v>
      </c>
      <c r="V65" s="45">
        <f t="shared" si="4"/>
        <v>40800</v>
      </c>
    </row>
    <row r="66" spans="2:22">
      <c r="T66" s="10" t="s">
        <v>213</v>
      </c>
      <c r="U66" s="39">
        <f>I29</f>
        <v>60000</v>
      </c>
      <c r="V66" s="45">
        <f t="shared" si="4"/>
        <v>48000</v>
      </c>
    </row>
    <row r="67" spans="2:22">
      <c r="T67" s="48"/>
      <c r="U67" s="48"/>
      <c r="V67" s="48"/>
    </row>
    <row r="68" spans="2:22">
      <c r="U68" s="33" t="s">
        <v>208</v>
      </c>
      <c r="V68" s="33" t="s">
        <v>209</v>
      </c>
    </row>
    <row r="69" spans="2:22">
      <c r="T69" s="2" t="s">
        <v>121</v>
      </c>
      <c r="U69" s="39">
        <f>I30</f>
        <v>16000</v>
      </c>
      <c r="V69" s="35">
        <f>U69*0.8</f>
        <v>12800</v>
      </c>
    </row>
    <row r="70" spans="2:22">
      <c r="T70" s="2" t="s">
        <v>125</v>
      </c>
      <c r="U70" s="39">
        <f>I31</f>
        <v>30000</v>
      </c>
      <c r="V70" s="35">
        <f t="shared" ref="V70:V73" si="5">U70*0.8</f>
        <v>24000</v>
      </c>
    </row>
    <row r="71" spans="2:22">
      <c r="T71" s="2" t="s">
        <v>129</v>
      </c>
      <c r="U71" s="39">
        <f>I32</f>
        <v>42000</v>
      </c>
      <c r="V71" s="35">
        <f t="shared" si="5"/>
        <v>33600</v>
      </c>
    </row>
    <row r="72" spans="2:22">
      <c r="T72" s="2" t="s">
        <v>133</v>
      </c>
      <c r="U72" s="39">
        <f>I33</f>
        <v>51000</v>
      </c>
      <c r="V72" s="35">
        <f t="shared" si="5"/>
        <v>40800</v>
      </c>
    </row>
    <row r="73" spans="2:22">
      <c r="T73" s="2" t="s">
        <v>137</v>
      </c>
      <c r="U73" s="39">
        <f>I34</f>
        <v>60000</v>
      </c>
      <c r="V73" s="35">
        <f t="shared" si="5"/>
        <v>48000</v>
      </c>
    </row>
    <row r="75" spans="2:22">
      <c r="U75" s="33" t="s">
        <v>208</v>
      </c>
      <c r="V75" s="33" t="s">
        <v>209</v>
      </c>
    </row>
    <row r="76" spans="2:22">
      <c r="T76" s="123" t="str">
        <f>N1</f>
        <v>MANOS</v>
      </c>
      <c r="U76" s="162">
        <f>U33</f>
        <v>15000</v>
      </c>
      <c r="V76" s="122">
        <f>U76*0.9</f>
        <v>13500</v>
      </c>
    </row>
    <row r="77" spans="2:22">
      <c r="T77" s="123" t="str">
        <f>N2</f>
        <v>MANOS ESMALTE semipermante</v>
      </c>
      <c r="U77" s="162">
        <f>O2</f>
        <v>20000</v>
      </c>
      <c r="V77" s="122">
        <f t="shared" ref="V77:V84" si="6">U77*0.9</f>
        <v>18000</v>
      </c>
    </row>
    <row r="78" spans="2:22">
      <c r="T78" s="123" t="str">
        <f>N3</f>
        <v>MANOS ESMALTE semipermante OPI</v>
      </c>
      <c r="U78" s="162">
        <f>O3</f>
        <v>23000</v>
      </c>
      <c r="V78" s="122">
        <f t="shared" si="6"/>
        <v>20700</v>
      </c>
    </row>
    <row r="79" spans="2:22">
      <c r="T79" s="123" t="str">
        <f>N26</f>
        <v>PEDICURIA (TORNO)</v>
      </c>
      <c r="U79" s="162">
        <f>O26</f>
        <v>25200</v>
      </c>
      <c r="V79" s="122">
        <f t="shared" si="6"/>
        <v>22680</v>
      </c>
    </row>
    <row r="80" spans="2:22">
      <c r="T80" s="123" t="str">
        <f>N27</f>
        <v xml:space="preserve">PEDICURIA (TORNO) SEMI </v>
      </c>
      <c r="U80" s="162">
        <f>O27</f>
        <v>30200</v>
      </c>
      <c r="V80" s="122">
        <f t="shared" si="6"/>
        <v>27180</v>
      </c>
    </row>
    <row r="81" spans="20:22">
      <c r="T81" s="123" t="str">
        <f>N28</f>
        <v>PEDICURIA (TORNO) SEMI OPI</v>
      </c>
      <c r="U81" s="162">
        <f>O28</f>
        <v>33200</v>
      </c>
      <c r="V81" s="122">
        <f t="shared" si="6"/>
        <v>29880</v>
      </c>
    </row>
    <row r="82" spans="20:22">
      <c r="T82" s="123" t="str">
        <f>N29</f>
        <v>PEDICURIA (BISTURI)</v>
      </c>
      <c r="U82" s="162">
        <f>O29</f>
        <v>30240</v>
      </c>
      <c r="V82" s="122">
        <f t="shared" si="6"/>
        <v>27216</v>
      </c>
    </row>
    <row r="83" spans="20:22">
      <c r="T83" s="123" t="str">
        <f>N30</f>
        <v>PEDICURIA (BISTURI) SEMI</v>
      </c>
      <c r="U83" s="162">
        <f>O30</f>
        <v>35240</v>
      </c>
      <c r="V83" s="122">
        <f t="shared" si="6"/>
        <v>31716</v>
      </c>
    </row>
    <row r="84" spans="20:22">
      <c r="T84" s="123" t="str">
        <f>N31</f>
        <v>PEDICURIA (BISTURI) SEMI OPI</v>
      </c>
      <c r="U84" s="162">
        <f>O31</f>
        <v>38240</v>
      </c>
      <c r="V84" s="122">
        <f t="shared" si="6"/>
        <v>34416</v>
      </c>
    </row>
    <row r="85" spans="20:22">
      <c r="T85" s="130" t="str">
        <f>N32</f>
        <v>PEDICURIA PROFUNDA</v>
      </c>
      <c r="U85" s="163">
        <f>O32</f>
        <v>44100</v>
      </c>
      <c r="V85" s="131">
        <f t="shared" ref="V85" si="7">U85*0.9</f>
        <v>39690</v>
      </c>
    </row>
    <row r="86" spans="20:22">
      <c r="T86" s="123" t="str">
        <f>N23</f>
        <v xml:space="preserve">BELLEZA DE PIES </v>
      </c>
      <c r="U86" s="162">
        <f>O23</f>
        <v>21000</v>
      </c>
      <c r="V86" s="122">
        <f>U86*0.9</f>
        <v>18900</v>
      </c>
    </row>
    <row r="87" spans="20:22">
      <c r="T87" s="123" t="str">
        <f>N24</f>
        <v xml:space="preserve">BELLEZA DE PIES SEMI </v>
      </c>
      <c r="U87" s="162">
        <f>O24</f>
        <v>26000</v>
      </c>
      <c r="V87" s="122">
        <f>U87*0.9</f>
        <v>23400</v>
      </c>
    </row>
    <row r="88" spans="20:22">
      <c r="T88" s="123" t="str">
        <f>N25</f>
        <v>BELLEZA DE PIES SEMI OPI</v>
      </c>
      <c r="U88" s="162">
        <f>O25</f>
        <v>29000</v>
      </c>
      <c r="V88" s="122">
        <f>U88*0.9</f>
        <v>26100</v>
      </c>
    </row>
    <row r="89" spans="20:22">
      <c r="T89" s="123" t="str">
        <f>N4</f>
        <v>MANOS KAPPING GEL</v>
      </c>
      <c r="U89" s="162">
        <f>O4</f>
        <v>33000</v>
      </c>
      <c r="V89" s="122">
        <f>U89*0.9</f>
        <v>29700</v>
      </c>
    </row>
    <row r="90" spans="20:22">
      <c r="T90" s="123" t="str">
        <f>N5</f>
        <v>MANOS KAPPING GEL SEMI</v>
      </c>
      <c r="U90" s="162">
        <f>O5</f>
        <v>38000</v>
      </c>
      <c r="V90" s="122">
        <f>U90*0.9</f>
        <v>34200</v>
      </c>
    </row>
    <row r="91" spans="20:22">
      <c r="T91" s="123" t="str">
        <f>N6</f>
        <v>MANOS KAPPING GEL SEMI OPI</v>
      </c>
      <c r="U91" s="162">
        <f>O6</f>
        <v>41000</v>
      </c>
      <c r="V91" s="122">
        <f>U91*0.9</f>
        <v>36900</v>
      </c>
    </row>
    <row r="92" spans="20:22">
      <c r="T92" s="123" t="s">
        <v>214</v>
      </c>
      <c r="U92" s="162" t="e">
        <f>#REF!</f>
        <v>#REF!</v>
      </c>
      <c r="V92" s="122" t="e">
        <f>U92*0.9</f>
        <v>#REF!</v>
      </c>
    </row>
    <row r="93" spans="20:22">
      <c r="T93" s="123" t="s">
        <v>215</v>
      </c>
      <c r="U93" s="162" t="e">
        <f>#REF!</f>
        <v>#REF!</v>
      </c>
      <c r="V93" s="122" t="e">
        <f>U93*0.9</f>
        <v>#REF!</v>
      </c>
    </row>
    <row r="94" spans="20:22">
      <c r="T94" s="123" t="s">
        <v>216</v>
      </c>
      <c r="U94" s="162" t="e">
        <f>#REF!</f>
        <v>#REF!</v>
      </c>
      <c r="V94" s="122" t="e">
        <f>U94*0.9</f>
        <v>#REF!</v>
      </c>
    </row>
    <row r="95" spans="20:22">
      <c r="T95" s="124" t="s">
        <v>217</v>
      </c>
      <c r="U95" s="164">
        <f>U42</f>
        <v>6000</v>
      </c>
      <c r="V95" s="122">
        <f>U95*0.9</f>
        <v>5400</v>
      </c>
    </row>
    <row r="96" spans="20:22">
      <c r="T96" s="124" t="s">
        <v>218</v>
      </c>
      <c r="U96" s="164">
        <f>U43</f>
        <v>11000</v>
      </c>
      <c r="V96" s="122">
        <f>U96*0.9</f>
        <v>9900</v>
      </c>
    </row>
    <row r="98" spans="20:22">
      <c r="U98" s="33" t="s">
        <v>208</v>
      </c>
      <c r="V98" s="33" t="s">
        <v>209</v>
      </c>
    </row>
    <row r="99" spans="20:22">
      <c r="T99" s="8" t="s">
        <v>85</v>
      </c>
      <c r="U99" s="37">
        <v>10900</v>
      </c>
      <c r="V99" s="108">
        <f>U99*0.8</f>
        <v>8720</v>
      </c>
    </row>
    <row r="100" spans="20:22">
      <c r="T100" s="8" t="s">
        <v>89</v>
      </c>
      <c r="U100" s="37">
        <v>13840</v>
      </c>
      <c r="V100" s="108">
        <f t="shared" ref="V100:V102" si="8">U100*0.8</f>
        <v>11072</v>
      </c>
    </row>
    <row r="101" spans="20:22">
      <c r="T101" s="8" t="s">
        <v>93</v>
      </c>
      <c r="U101" s="37">
        <v>16700</v>
      </c>
      <c r="V101" s="108">
        <f t="shared" si="8"/>
        <v>13360</v>
      </c>
    </row>
    <row r="102" spans="20:22">
      <c r="T102" s="8" t="s">
        <v>97</v>
      </c>
      <c r="U102" s="37">
        <v>21020</v>
      </c>
      <c r="V102" s="108">
        <f t="shared" si="8"/>
        <v>16816</v>
      </c>
    </row>
    <row r="103" spans="20:22">
      <c r="U103" s="33" t="s">
        <v>208</v>
      </c>
      <c r="V103" s="33" t="s">
        <v>209</v>
      </c>
    </row>
    <row r="104" spans="20:22">
      <c r="T104" s="20" t="s">
        <v>9</v>
      </c>
      <c r="U104" s="38">
        <f>I1</f>
        <v>84000</v>
      </c>
      <c r="V104" s="109">
        <f>U104*0.8</f>
        <v>67200</v>
      </c>
    </row>
    <row r="105" spans="20:22">
      <c r="T105" s="20" t="s">
        <v>12</v>
      </c>
      <c r="U105" s="38">
        <f>I2</f>
        <v>100800</v>
      </c>
      <c r="V105" s="109">
        <f t="shared" ref="V105:V109" si="9">U105*0.8</f>
        <v>80640</v>
      </c>
    </row>
    <row r="106" spans="20:22">
      <c r="T106" s="20" t="s">
        <v>16</v>
      </c>
      <c r="U106" s="38">
        <f>I3</f>
        <v>120960</v>
      </c>
      <c r="V106" s="109">
        <f t="shared" si="9"/>
        <v>96768</v>
      </c>
    </row>
    <row r="107" spans="20:22">
      <c r="T107" s="20" t="s">
        <v>19</v>
      </c>
      <c r="U107" s="38">
        <f>I4</f>
        <v>109200</v>
      </c>
      <c r="V107" s="109">
        <f t="shared" si="9"/>
        <v>87360</v>
      </c>
    </row>
    <row r="108" spans="20:22">
      <c r="T108" s="20" t="s">
        <v>24</v>
      </c>
      <c r="U108" s="38">
        <f>I5</f>
        <v>152880</v>
      </c>
      <c r="V108" s="109">
        <f t="shared" si="9"/>
        <v>122304</v>
      </c>
    </row>
    <row r="109" spans="20:22">
      <c r="T109" s="20" t="s">
        <v>28</v>
      </c>
      <c r="U109" s="38">
        <f>I6</f>
        <v>191100</v>
      </c>
      <c r="V109" s="109">
        <f t="shared" si="9"/>
        <v>152880</v>
      </c>
    </row>
  </sheetData>
  <mergeCells count="1">
    <mergeCell ref="T46:U50"/>
  </mergeCells>
  <pageMargins left="1" right="1" top="1" bottom="1" header="0.5" footer="0.5"/>
  <pageSetup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H18" sqref="H18"/>
    </sheetView>
  </sheetViews>
  <sheetFormatPr defaultColWidth="11.42578125" defaultRowHeight="15"/>
  <sheetData>
    <row r="1" spans="1:3">
      <c r="A1" s="43">
        <v>44349</v>
      </c>
      <c r="B1">
        <v>22</v>
      </c>
    </row>
    <row r="2" spans="1:3">
      <c r="A2" s="43">
        <v>44347</v>
      </c>
      <c r="B2">
        <v>38</v>
      </c>
    </row>
    <row r="3" spans="1:3">
      <c r="A3" s="44">
        <v>44351</v>
      </c>
      <c r="B3">
        <v>18</v>
      </c>
    </row>
    <row r="4" spans="1:3">
      <c r="A4" s="44">
        <v>44354</v>
      </c>
      <c r="B4">
        <v>26</v>
      </c>
      <c r="C4">
        <v>1560</v>
      </c>
    </row>
    <row r="5" spans="1:3">
      <c r="A5" s="44">
        <v>44365</v>
      </c>
      <c r="B5">
        <v>99</v>
      </c>
      <c r="C5">
        <v>1485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25" sqref="F25"/>
    </sheetView>
  </sheetViews>
  <sheetFormatPr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8:G8"/>
  <sheetViews>
    <sheetView topLeftCell="A7" workbookViewId="0">
      <selection activeCell="G28" sqref="G28"/>
    </sheetView>
  </sheetViews>
  <sheetFormatPr defaultColWidth="11.42578125" defaultRowHeight="15"/>
  <cols>
    <col min="1" max="1" width="12" bestFit="1" customWidth="1"/>
    <col min="2" max="2" width="11.85546875" bestFit="1" customWidth="1"/>
    <col min="3" max="3" width="11.140625" bestFit="1" customWidth="1"/>
    <col min="4" max="4" width="10.28515625" bestFit="1" customWidth="1"/>
    <col min="5" max="5" width="5.7109375" bestFit="1" customWidth="1"/>
    <col min="6" max="6" width="8.7109375" bestFit="1" customWidth="1"/>
    <col min="7" max="7" width="15" bestFit="1" customWidth="1"/>
  </cols>
  <sheetData>
    <row r="8" spans="1:7">
      <c r="A8" t="s">
        <v>219</v>
      </c>
      <c r="B8" t="s">
        <v>220</v>
      </c>
      <c r="C8" t="s">
        <v>221</v>
      </c>
      <c r="D8" t="s">
        <v>222</v>
      </c>
      <c r="E8" t="s">
        <v>223</v>
      </c>
      <c r="F8" t="s">
        <v>224</v>
      </c>
      <c r="G8" t="s">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42578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Pelu</dc:creator>
  <cp:keywords/>
  <dc:description/>
  <cp:lastModifiedBy/>
  <cp:revision/>
  <dcterms:created xsi:type="dcterms:W3CDTF">2024-02-03T16:15:19Z</dcterms:created>
  <dcterms:modified xsi:type="dcterms:W3CDTF">2025-02-21T21:48:15Z</dcterms:modified>
  <cp:category/>
  <cp:contentStatus/>
</cp:coreProperties>
</file>